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7"/>
  <workbookPr/>
  <xr:revisionPtr revIDLastSave="0" documentId="8_{36D503FD-90F5-43CD-A9BD-49330CE323A1}" xr6:coauthVersionLast="47" xr6:coauthVersionMax="47" xr10:uidLastSave="{00000000-0000-0000-0000-000000000000}"/>
  <bookViews>
    <workbookView xWindow="240" yWindow="105" windowWidth="14805" windowHeight="8010" firstSheet="1" activeTab="4" xr2:uid="{00000000-000D-0000-FFFF-FFFF00000000}"/>
  </bookViews>
  <sheets>
    <sheet name="Any column filter" sheetId="4" r:id="rId1"/>
    <sheet name="FX Converter" sheetId="5" r:id="rId2"/>
    <sheet name="Leads Per day" sheetId="6" r:id="rId3"/>
    <sheet name="Dynamic Array" sheetId="1" r:id="rId4"/>
    <sheet name="LET $ LAMBDA" sheetId="2" r:id="rId5"/>
    <sheet name="Map vs Scan" sheetId="3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F8" i="6" l="1"/>
  <c r="E9" i="6" a="1"/>
  <c r="E9" i="6"/>
  <c r="E10" i="6" a="1"/>
  <c r="E10" i="6"/>
  <c r="E11" i="6" a="1"/>
  <c r="E11" i="6"/>
  <c r="E12" i="6" a="1"/>
  <c r="E12" i="6"/>
  <c r="E13" i="6" a="1"/>
  <c r="E13" i="6"/>
  <c r="E14" i="6" a="1"/>
  <c r="E14" i="6"/>
  <c r="E15" i="6" a="1"/>
  <c r="E15" i="6"/>
  <c r="E16" i="6" a="1"/>
  <c r="E16" i="6"/>
  <c r="E17" i="6" a="1"/>
  <c r="E17" i="6"/>
  <c r="E18" i="6" a="1"/>
  <c r="E18" i="6"/>
  <c r="E19" i="6" a="1"/>
  <c r="E19" i="6"/>
  <c r="E20" i="6" a="1"/>
  <c r="E20" i="6"/>
  <c r="E21" i="6" a="1"/>
  <c r="E21" i="6"/>
  <c r="E22" i="6" a="1"/>
  <c r="E22" i="6"/>
  <c r="E23" i="6" a="1"/>
  <c r="E23" i="6"/>
  <c r="E24" i="6" a="1"/>
  <c r="E24" i="6"/>
  <c r="E25" i="6" a="1"/>
  <c r="E25" i="6"/>
  <c r="E26" i="6" a="1"/>
  <c r="E26" i="6"/>
  <c r="E27" i="6" a="1"/>
  <c r="E27" i="6"/>
  <c r="E28" i="6" a="1"/>
  <c r="E28" i="6"/>
  <c r="E29" i="6" a="1"/>
  <c r="E29" i="6"/>
  <c r="E30" i="6" a="1"/>
  <c r="E30" i="6"/>
  <c r="E31" i="6" a="1"/>
  <c r="E31" i="6"/>
  <c r="E32" i="6" a="1"/>
  <c r="E32" i="6"/>
  <c r="E33" i="6" a="1"/>
  <c r="E33" i="6"/>
  <c r="E34" i="6" a="1"/>
  <c r="E34" i="6"/>
  <c r="E35" i="6" a="1"/>
  <c r="E35" i="6"/>
  <c r="E36" i="6" a="1"/>
  <c r="E36" i="6"/>
  <c r="E37" i="6" a="1"/>
  <c r="E37" i="6"/>
  <c r="E38" i="6" a="1"/>
  <c r="E38" i="6"/>
  <c r="E39" i="6" a="1"/>
  <c r="E39" i="6"/>
  <c r="E40" i="6" a="1"/>
  <c r="E40" i="6"/>
  <c r="E41" i="6" a="1"/>
  <c r="E41" i="6"/>
  <c r="E42" i="6" a="1"/>
  <c r="E42" i="6"/>
  <c r="E8" i="6" a="1"/>
  <c r="E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D8" i="6" a="1"/>
  <c r="D8" i="6"/>
  <c r="D9" i="6" a="1"/>
  <c r="D9" i="6"/>
  <c r="D10" i="6" a="1"/>
  <c r="D10" i="6"/>
  <c r="D11" i="6" a="1"/>
  <c r="D11" i="6"/>
  <c r="D12" i="6" a="1"/>
  <c r="D12" i="6"/>
  <c r="D13" i="6" a="1"/>
  <c r="D13" i="6"/>
  <c r="D14" i="6" a="1"/>
  <c r="D14" i="6"/>
  <c r="D15" i="6" a="1"/>
  <c r="D15" i="6"/>
  <c r="D16" i="6" a="1"/>
  <c r="D16" i="6"/>
  <c r="D17" i="6" a="1"/>
  <c r="D17" i="6"/>
  <c r="D18" i="6" a="1"/>
  <c r="D18" i="6"/>
  <c r="D19" i="6" a="1"/>
  <c r="D19" i="6"/>
  <c r="D20" i="6" a="1"/>
  <c r="D20" i="6"/>
  <c r="D21" i="6" a="1"/>
  <c r="D21" i="6"/>
  <c r="D22" i="6" a="1"/>
  <c r="D22" i="6"/>
  <c r="D23" i="6" a="1"/>
  <c r="D23" i="6"/>
  <c r="D24" i="6" a="1"/>
  <c r="D24" i="6"/>
  <c r="D25" i="6" a="1"/>
  <c r="D25" i="6"/>
  <c r="D26" i="6" a="1"/>
  <c r="D26" i="6"/>
  <c r="D27" i="6" a="1"/>
  <c r="D27" i="6"/>
  <c r="D28" i="6" a="1"/>
  <c r="D28" i="6"/>
  <c r="D29" i="6" a="1"/>
  <c r="D29" i="6"/>
  <c r="D30" i="6" a="1"/>
  <c r="D30" i="6"/>
  <c r="D31" i="6" a="1"/>
  <c r="D31" i="6"/>
  <c r="D32" i="6" a="1"/>
  <c r="D32" i="6"/>
  <c r="D33" i="6" a="1"/>
  <c r="D33" i="6"/>
  <c r="D34" i="6" a="1"/>
  <c r="D34" i="6"/>
  <c r="D35" i="6" a="1"/>
  <c r="D35" i="6"/>
  <c r="D36" i="6" a="1"/>
  <c r="D36" i="6"/>
  <c r="D37" i="6" a="1"/>
  <c r="D37" i="6"/>
  <c r="D38" i="6" a="1"/>
  <c r="D38" i="6"/>
  <c r="D39" i="6" a="1"/>
  <c r="D39" i="6"/>
  <c r="D40" i="6" a="1"/>
  <c r="D40" i="6"/>
  <c r="D41" i="6" a="1"/>
  <c r="D41" i="6"/>
  <c r="D42" i="6" a="1"/>
  <c r="D42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F6" i="5" a="1"/>
  <c r="F6" i="5"/>
  <c r="G6" i="5" s="1"/>
  <c r="F7" i="5" a="1"/>
  <c r="F7" i="5"/>
  <c r="G7" i="5" s="1"/>
  <c r="F8" i="5" a="1"/>
  <c r="F8" i="5"/>
  <c r="G8" i="5" s="1"/>
  <c r="F9" i="5" a="1"/>
  <c r="F9" i="5"/>
  <c r="G9" i="5" s="1"/>
  <c r="F10" i="5" a="1"/>
  <c r="F10" i="5"/>
  <c r="G10" i="5" s="1"/>
  <c r="F11" i="5" a="1"/>
  <c r="F11" i="5"/>
  <c r="G11" i="5" s="1"/>
  <c r="F12" i="5" a="1"/>
  <c r="F12" i="5"/>
  <c r="G12" i="5" s="1"/>
  <c r="F13" i="5" a="1"/>
  <c r="F13" i="5"/>
  <c r="G13" i="5" s="1"/>
  <c r="F14" i="5" a="1"/>
  <c r="F14" i="5"/>
  <c r="G14" i="5" s="1"/>
  <c r="F15" i="5" a="1"/>
  <c r="F15" i="5"/>
  <c r="G15" i="5" s="1"/>
  <c r="F16" i="5" a="1"/>
  <c r="F16" i="5"/>
  <c r="G16" i="5" s="1"/>
  <c r="F17" i="5" a="1"/>
  <c r="F17" i="5"/>
  <c r="G17" i="5" s="1"/>
  <c r="F18" i="5" a="1"/>
  <c r="F18" i="5"/>
  <c r="G18" i="5" s="1"/>
  <c r="F19" i="5" a="1"/>
  <c r="F19" i="5"/>
  <c r="G19" i="5" s="1"/>
  <c r="F20" i="5" a="1"/>
  <c r="F20" i="5"/>
  <c r="G20" i="5" s="1"/>
  <c r="F21" i="5" a="1"/>
  <c r="F21" i="5"/>
  <c r="G21" i="5" s="1"/>
  <c r="F22" i="5" a="1"/>
  <c r="F22" i="5"/>
  <c r="G22" i="5" s="1"/>
  <c r="F23" i="5" a="1"/>
  <c r="F23" i="5"/>
  <c r="G23" i="5" s="1"/>
  <c r="F24" i="5" a="1"/>
  <c r="F24" i="5"/>
  <c r="G24" i="5" s="1"/>
  <c r="F25" i="5" a="1"/>
  <c r="F25" i="5"/>
  <c r="G25" i="5" s="1"/>
  <c r="F26" i="5" a="1"/>
  <c r="F26" i="5"/>
  <c r="G26" i="5" s="1"/>
  <c r="F27" i="5" a="1"/>
  <c r="F27" i="5"/>
  <c r="G27" i="5" s="1"/>
  <c r="F28" i="5" a="1"/>
  <c r="F28" i="5"/>
  <c r="G28" i="5" s="1"/>
  <c r="F29" i="5" a="1"/>
  <c r="F29" i="5"/>
  <c r="G29" i="5" s="1"/>
  <c r="F30" i="5" a="1"/>
  <c r="F30" i="5"/>
  <c r="G30" i="5" s="1"/>
  <c r="F31" i="5" a="1"/>
  <c r="F31" i="5"/>
  <c r="G31" i="5" s="1"/>
  <c r="F32" i="5" a="1"/>
  <c r="F32" i="5"/>
  <c r="G32" i="5" s="1"/>
  <c r="F33" i="5" a="1"/>
  <c r="F33" i="5"/>
  <c r="G33" i="5" s="1"/>
  <c r="F34" i="5" a="1"/>
  <c r="F34" i="5"/>
  <c r="G34" i="5" s="1"/>
  <c r="F35" i="5" a="1"/>
  <c r="F35" i="5"/>
  <c r="G35" i="5" s="1"/>
  <c r="F36" i="5" a="1"/>
  <c r="F36" i="5"/>
  <c r="G36" i="5" s="1"/>
  <c r="F37" i="5" a="1"/>
  <c r="F37" i="5"/>
  <c r="G37" i="5" s="1"/>
  <c r="F38" i="5" a="1"/>
  <c r="F38" i="5"/>
  <c r="G38" i="5" s="1"/>
  <c r="F39" i="5" a="1"/>
  <c r="F39" i="5"/>
  <c r="G39" i="5" s="1"/>
  <c r="F40" i="5" a="1"/>
  <c r="F40" i="5"/>
  <c r="G40" i="5" s="1"/>
  <c r="F41" i="5" a="1"/>
  <c r="F41" i="5"/>
  <c r="G41" i="5" s="1"/>
  <c r="F42" i="5" a="1"/>
  <c r="F42" i="5"/>
  <c r="G42" i="5" s="1"/>
  <c r="F43" i="5" a="1"/>
  <c r="F43" i="5"/>
  <c r="G43" i="5" s="1"/>
  <c r="F44" i="5" a="1"/>
  <c r="F44" i="5"/>
  <c r="G44" i="5" s="1"/>
  <c r="F45" i="5" a="1"/>
  <c r="F45" i="5"/>
  <c r="G45" i="5" s="1"/>
  <c r="F46" i="5" a="1"/>
  <c r="F46" i="5"/>
  <c r="G46" i="5" s="1"/>
  <c r="F47" i="5" a="1"/>
  <c r="F47" i="5"/>
  <c r="G47" i="5" s="1"/>
  <c r="F48" i="5" a="1"/>
  <c r="F48" i="5"/>
  <c r="G48" i="5" s="1"/>
  <c r="F49" i="5" a="1"/>
  <c r="F49" i="5"/>
  <c r="G49" i="5" s="1"/>
  <c r="F50" i="5" a="1"/>
  <c r="F50" i="5"/>
  <c r="G50" i="5" s="1"/>
  <c r="F51" i="5" a="1"/>
  <c r="F51" i="5"/>
  <c r="G51" i="5" s="1"/>
  <c r="F52" i="5" a="1"/>
  <c r="F52" i="5"/>
  <c r="G52" i="5" s="1"/>
  <c r="F53" i="5" a="1"/>
  <c r="F53" i="5"/>
  <c r="G53" i="5" s="1"/>
  <c r="F54" i="5" a="1"/>
  <c r="F54" i="5"/>
  <c r="G54" i="5" s="1"/>
  <c r="F55" i="5" a="1"/>
  <c r="F55" i="5"/>
  <c r="G55" i="5" s="1"/>
  <c r="F56" i="5" a="1"/>
  <c r="F56" i="5"/>
  <c r="G56" i="5" s="1"/>
  <c r="F57" i="5" a="1"/>
  <c r="F57" i="5"/>
  <c r="G57" i="5" s="1"/>
  <c r="F58" i="5" a="1"/>
  <c r="F58" i="5"/>
  <c r="G58" i="5" s="1"/>
  <c r="F59" i="5" a="1"/>
  <c r="F59" i="5"/>
  <c r="G59" i="5" s="1"/>
  <c r="F60" i="5" a="1"/>
  <c r="F60" i="5"/>
  <c r="G60" i="5" s="1"/>
  <c r="F61" i="5" a="1"/>
  <c r="F61" i="5"/>
  <c r="G61" i="5" s="1"/>
  <c r="F62" i="5" a="1"/>
  <c r="F62" i="5"/>
  <c r="G62" i="5" s="1"/>
  <c r="F63" i="5" a="1"/>
  <c r="F63" i="5"/>
  <c r="G63" i="5" s="1"/>
  <c r="F64" i="5" a="1"/>
  <c r="F64" i="5"/>
  <c r="G64" i="5" s="1"/>
  <c r="F65" i="5" a="1"/>
  <c r="F65" i="5"/>
  <c r="G65" i="5" s="1"/>
  <c r="F66" i="5" a="1"/>
  <c r="F66" i="5"/>
  <c r="G66" i="5" s="1"/>
  <c r="F67" i="5" a="1"/>
  <c r="F67" i="5"/>
  <c r="G67" i="5" s="1"/>
  <c r="F68" i="5" a="1"/>
  <c r="F68" i="5"/>
  <c r="G68" i="5" s="1"/>
  <c r="F69" i="5" a="1"/>
  <c r="F69" i="5"/>
  <c r="G69" i="5" s="1"/>
  <c r="F70" i="5" a="1"/>
  <c r="F70" i="5"/>
  <c r="G70" i="5" s="1"/>
  <c r="F71" i="5" a="1"/>
  <c r="F71" i="5"/>
  <c r="G71" i="5" s="1"/>
  <c r="F72" i="5" a="1"/>
  <c r="F72" i="5"/>
  <c r="G72" i="5" s="1"/>
  <c r="F73" i="5" a="1"/>
  <c r="F73" i="5"/>
  <c r="G73" i="5" s="1"/>
  <c r="F74" i="5" a="1"/>
  <c r="F74" i="5"/>
  <c r="G74" i="5" s="1"/>
  <c r="F75" i="5" a="1"/>
  <c r="F75" i="5"/>
  <c r="G75" i="5" s="1"/>
  <c r="F76" i="5" a="1"/>
  <c r="F76" i="5"/>
  <c r="G76" i="5" s="1"/>
  <c r="F77" i="5" a="1"/>
  <c r="F77" i="5"/>
  <c r="G77" i="5" s="1"/>
  <c r="F78" i="5" a="1"/>
  <c r="F78" i="5"/>
  <c r="G78" i="5" s="1"/>
  <c r="F79" i="5" a="1"/>
  <c r="F79" i="5"/>
  <c r="G79" i="5" s="1"/>
  <c r="F80" i="5" a="1"/>
  <c r="F80" i="5"/>
  <c r="G80" i="5" s="1"/>
  <c r="F81" i="5" a="1"/>
  <c r="F81" i="5"/>
  <c r="G81" i="5" s="1"/>
  <c r="F82" i="5" a="1"/>
  <c r="F82" i="5"/>
  <c r="G82" i="5" s="1"/>
  <c r="F83" i="5" a="1"/>
  <c r="F83" i="5"/>
  <c r="G83" i="5" s="1"/>
  <c r="F84" i="5" a="1"/>
  <c r="F84" i="5"/>
  <c r="G84" i="5" s="1"/>
  <c r="F85" i="5" a="1"/>
  <c r="F85" i="5"/>
  <c r="G85" i="5" s="1"/>
  <c r="F86" i="5" a="1"/>
  <c r="F86" i="5"/>
  <c r="G86" i="5" s="1"/>
  <c r="F87" i="5" a="1"/>
  <c r="F87" i="5"/>
  <c r="G87" i="5" s="1"/>
  <c r="F88" i="5" a="1"/>
  <c r="F88" i="5"/>
  <c r="G88" i="5" s="1"/>
  <c r="F89" i="5" a="1"/>
  <c r="F89" i="5"/>
  <c r="G89" i="5" s="1"/>
  <c r="F90" i="5" a="1"/>
  <c r="F90" i="5"/>
  <c r="G90" i="5" s="1"/>
  <c r="F91" i="5" a="1"/>
  <c r="F91" i="5"/>
  <c r="G91" i="5" s="1"/>
  <c r="F92" i="5" a="1"/>
  <c r="F92" i="5"/>
  <c r="G92" i="5" s="1"/>
  <c r="F93" i="5" a="1"/>
  <c r="F93" i="5"/>
  <c r="G93" i="5" s="1"/>
  <c r="F94" i="5" a="1"/>
  <c r="F94" i="5"/>
  <c r="G94" i="5" s="1"/>
  <c r="F95" i="5" a="1"/>
  <c r="F95" i="5"/>
  <c r="G95" i="5" s="1"/>
  <c r="F96" i="5" a="1"/>
  <c r="F96" i="5"/>
  <c r="G96" i="5" s="1"/>
  <c r="F97" i="5" a="1"/>
  <c r="F97" i="5"/>
  <c r="G97" i="5" s="1"/>
  <c r="F98" i="5" a="1"/>
  <c r="F98" i="5"/>
  <c r="G98" i="5" s="1"/>
  <c r="F99" i="5" a="1"/>
  <c r="F99" i="5"/>
  <c r="G99" i="5" s="1"/>
  <c r="F100" i="5" a="1"/>
  <c r="F100" i="5"/>
  <c r="G100" i="5" s="1"/>
  <c r="F101" i="5" a="1"/>
  <c r="F101" i="5"/>
  <c r="G101" i="5" s="1"/>
  <c r="F102" i="5" a="1"/>
  <c r="F102" i="5"/>
  <c r="G102" i="5" s="1"/>
  <c r="F103" i="5" a="1"/>
  <c r="F103" i="5"/>
  <c r="G103" i="5" s="1"/>
  <c r="F104" i="5" a="1"/>
  <c r="F104" i="5"/>
  <c r="G104" i="5" s="1"/>
  <c r="F105" i="5" a="1"/>
  <c r="F105" i="5"/>
  <c r="G105" i="5" s="1"/>
  <c r="F106" i="5" a="1"/>
  <c r="F106" i="5"/>
  <c r="G106" i="5" s="1"/>
  <c r="F107" i="5" a="1"/>
  <c r="F107" i="5"/>
  <c r="G107" i="5" s="1"/>
  <c r="F108" i="5" a="1"/>
  <c r="F108" i="5"/>
  <c r="G108" i="5" s="1"/>
  <c r="F109" i="5" a="1"/>
  <c r="F109" i="5"/>
  <c r="G109" i="5" s="1"/>
  <c r="F110" i="5" a="1"/>
  <c r="F110" i="5"/>
  <c r="G110" i="5" s="1"/>
  <c r="F111" i="5" a="1"/>
  <c r="F111" i="5"/>
  <c r="G111" i="5" s="1"/>
  <c r="F112" i="5" a="1"/>
  <c r="F112" i="5"/>
  <c r="G112" i="5" s="1"/>
  <c r="F113" i="5" a="1"/>
  <c r="F113" i="5"/>
  <c r="G113" i="5" s="1"/>
  <c r="F114" i="5" a="1"/>
  <c r="F114" i="5"/>
  <c r="G114" i="5" s="1"/>
  <c r="F115" i="5" a="1"/>
  <c r="F115" i="5"/>
  <c r="G115" i="5" s="1"/>
  <c r="F116" i="5" a="1"/>
  <c r="F116" i="5"/>
  <c r="G116" i="5" s="1"/>
  <c r="F117" i="5" a="1"/>
  <c r="F117" i="5"/>
  <c r="G117" i="5" s="1"/>
  <c r="F118" i="5" a="1"/>
  <c r="F118" i="5"/>
  <c r="G118" i="5" s="1"/>
  <c r="F119" i="5" a="1"/>
  <c r="F119" i="5"/>
  <c r="G119" i="5" s="1"/>
  <c r="F120" i="5" a="1"/>
  <c r="F120" i="5"/>
  <c r="G120" i="5" s="1"/>
  <c r="F121" i="5" a="1"/>
  <c r="F121" i="5"/>
  <c r="G121" i="5" s="1"/>
  <c r="F122" i="5" a="1"/>
  <c r="F122" i="5"/>
  <c r="G122" i="5" s="1"/>
  <c r="F123" i="5" a="1"/>
  <c r="F123" i="5"/>
  <c r="G123" i="5" s="1"/>
  <c r="F124" i="5" a="1"/>
  <c r="F124" i="5"/>
  <c r="G124" i="5" s="1"/>
  <c r="F125" i="5" a="1"/>
  <c r="F125" i="5"/>
  <c r="G125" i="5" s="1"/>
  <c r="F126" i="5" a="1"/>
  <c r="F126" i="5"/>
  <c r="G126" i="5" s="1"/>
  <c r="F127" i="5" a="1"/>
  <c r="F127" i="5"/>
  <c r="G127" i="5" s="1"/>
  <c r="F128" i="5" a="1"/>
  <c r="F128" i="5"/>
  <c r="G128" i="5" s="1"/>
  <c r="F129" i="5" a="1"/>
  <c r="F129" i="5"/>
  <c r="G129" i="5" s="1"/>
  <c r="F130" i="5" a="1"/>
  <c r="F130" i="5"/>
  <c r="G130" i="5" s="1"/>
  <c r="F131" i="5" a="1"/>
  <c r="F131" i="5"/>
  <c r="G131" i="5" s="1"/>
  <c r="F132" i="5" a="1"/>
  <c r="F132" i="5"/>
  <c r="G132" i="5" s="1"/>
  <c r="F133" i="5" a="1"/>
  <c r="F133" i="5"/>
  <c r="G133" i="5" s="1"/>
  <c r="F134" i="5" a="1"/>
  <c r="F134" i="5"/>
  <c r="G134" i="5" s="1"/>
  <c r="F135" i="5" a="1"/>
  <c r="F135" i="5"/>
  <c r="G135" i="5" s="1"/>
  <c r="F136" i="5" a="1"/>
  <c r="F136" i="5"/>
  <c r="G136" i="5" s="1"/>
  <c r="F137" i="5" a="1"/>
  <c r="F137" i="5"/>
  <c r="G137" i="5" s="1"/>
  <c r="F138" i="5" a="1"/>
  <c r="F138" i="5"/>
  <c r="G138" i="5" s="1"/>
  <c r="F139" i="5" a="1"/>
  <c r="F139" i="5"/>
  <c r="G139" i="5" s="1"/>
  <c r="F140" i="5" a="1"/>
  <c r="F140" i="5"/>
  <c r="G140" i="5" s="1"/>
  <c r="F141" i="5" a="1"/>
  <c r="F141" i="5"/>
  <c r="G141" i="5" s="1"/>
  <c r="F142" i="5" a="1"/>
  <c r="F142" i="5"/>
  <c r="G142" i="5" s="1"/>
  <c r="F143" i="5" a="1"/>
  <c r="F143" i="5"/>
  <c r="G143" i="5" s="1"/>
  <c r="F144" i="5" a="1"/>
  <c r="F144" i="5"/>
  <c r="G144" i="5" s="1"/>
  <c r="F145" i="5" a="1"/>
  <c r="F145" i="5"/>
  <c r="G145" i="5" s="1"/>
  <c r="F146" i="5" a="1"/>
  <c r="F146" i="5"/>
  <c r="G146" i="5" s="1"/>
  <c r="F147" i="5" a="1"/>
  <c r="F147" i="5"/>
  <c r="G147" i="5" s="1"/>
  <c r="F148" i="5" a="1"/>
  <c r="F148" i="5"/>
  <c r="G148" i="5" s="1"/>
  <c r="F149" i="5" a="1"/>
  <c r="F149" i="5"/>
  <c r="G149" i="5" s="1"/>
  <c r="F150" i="5" a="1"/>
  <c r="F150" i="5"/>
  <c r="G150" i="5" s="1"/>
  <c r="F151" i="5" a="1"/>
  <c r="F151" i="5"/>
  <c r="G151" i="5" s="1"/>
  <c r="F152" i="5" a="1"/>
  <c r="F152" i="5"/>
  <c r="G152" i="5" s="1"/>
  <c r="F153" i="5" a="1"/>
  <c r="F153" i="5"/>
  <c r="G153" i="5" s="1"/>
  <c r="F154" i="5" a="1"/>
  <c r="F154" i="5"/>
  <c r="G154" i="5" s="1"/>
  <c r="F155" i="5" a="1"/>
  <c r="F155" i="5"/>
  <c r="G155" i="5" s="1"/>
  <c r="F156" i="5" a="1"/>
  <c r="F156" i="5"/>
  <c r="G156" i="5" s="1"/>
  <c r="F157" i="5" a="1"/>
  <c r="F157" i="5"/>
  <c r="G157" i="5" s="1"/>
  <c r="F158" i="5" a="1"/>
  <c r="F158" i="5"/>
  <c r="G158" i="5" s="1"/>
  <c r="F159" i="5" a="1"/>
  <c r="F159" i="5"/>
  <c r="G159" i="5" s="1"/>
  <c r="F160" i="5" a="1"/>
  <c r="F160" i="5"/>
  <c r="G160" i="5" s="1"/>
  <c r="F161" i="5" a="1"/>
  <c r="F161" i="5"/>
  <c r="G161" i="5" s="1"/>
  <c r="F162" i="5" a="1"/>
  <c r="F162" i="5"/>
  <c r="G162" i="5" s="1"/>
  <c r="F163" i="5" a="1"/>
  <c r="F163" i="5"/>
  <c r="G163" i="5" s="1"/>
  <c r="F164" i="5" a="1"/>
  <c r="F164" i="5"/>
  <c r="G164" i="5" s="1"/>
  <c r="F165" i="5" a="1"/>
  <c r="F165" i="5"/>
  <c r="G165" i="5" s="1"/>
  <c r="F166" i="5" a="1"/>
  <c r="F166" i="5"/>
  <c r="G166" i="5" s="1"/>
  <c r="F167" i="5" a="1"/>
  <c r="F167" i="5"/>
  <c r="G167" i="5" s="1"/>
  <c r="F168" i="5" a="1"/>
  <c r="F168" i="5"/>
  <c r="G168" i="5" s="1"/>
  <c r="F169" i="5" a="1"/>
  <c r="F169" i="5"/>
  <c r="G169" i="5" s="1"/>
  <c r="F170" i="5" a="1"/>
  <c r="F170" i="5"/>
  <c r="G170" i="5" s="1"/>
  <c r="F171" i="5" a="1"/>
  <c r="F171" i="5"/>
  <c r="G171" i="5" s="1"/>
  <c r="F172" i="5" a="1"/>
  <c r="F172" i="5"/>
  <c r="G172" i="5" s="1"/>
  <c r="F173" i="5" a="1"/>
  <c r="F173" i="5"/>
  <c r="G173" i="5" s="1"/>
  <c r="F174" i="5" a="1"/>
  <c r="F174" i="5"/>
  <c r="G174" i="5" s="1"/>
  <c r="F175" i="5" a="1"/>
  <c r="F175" i="5"/>
  <c r="G175" i="5" s="1"/>
  <c r="F176" i="5" a="1"/>
  <c r="F176" i="5"/>
  <c r="G176" i="5" s="1"/>
  <c r="F177" i="5" a="1"/>
  <c r="F177" i="5"/>
  <c r="G177" i="5" s="1"/>
  <c r="F178" i="5" a="1"/>
  <c r="F178" i="5"/>
  <c r="G178" i="5" s="1"/>
  <c r="F179" i="5" a="1"/>
  <c r="F179" i="5"/>
  <c r="G179" i="5" s="1"/>
  <c r="F180" i="5" a="1"/>
  <c r="F180" i="5"/>
  <c r="G180" i="5" s="1"/>
  <c r="F181" i="5" a="1"/>
  <c r="F181" i="5"/>
  <c r="G181" i="5" s="1"/>
  <c r="F182" i="5" a="1"/>
  <c r="F182" i="5"/>
  <c r="G182" i="5" s="1"/>
  <c r="F183" i="5" a="1"/>
  <c r="F183" i="5"/>
  <c r="G183" i="5" s="1"/>
  <c r="F184" i="5" a="1"/>
  <c r="F184" i="5"/>
  <c r="G184" i="5" s="1"/>
  <c r="F185" i="5" a="1"/>
  <c r="F185" i="5"/>
  <c r="G185" i="5" s="1"/>
  <c r="F186" i="5" a="1"/>
  <c r="F186" i="5"/>
  <c r="G186" i="5" s="1"/>
  <c r="F187" i="5" a="1"/>
  <c r="F187" i="5"/>
  <c r="G187" i="5" s="1"/>
  <c r="F188" i="5" a="1"/>
  <c r="F188" i="5"/>
  <c r="G188" i="5" s="1"/>
  <c r="F189" i="5" a="1"/>
  <c r="F189" i="5"/>
  <c r="G189" i="5" s="1"/>
  <c r="F190" i="5" a="1"/>
  <c r="F190" i="5"/>
  <c r="G190" i="5" s="1"/>
  <c r="F191" i="5" a="1"/>
  <c r="F191" i="5"/>
  <c r="G191" i="5" s="1"/>
  <c r="F192" i="5" a="1"/>
  <c r="F192" i="5"/>
  <c r="G192" i="5" s="1"/>
  <c r="F193" i="5" a="1"/>
  <c r="F193" i="5"/>
  <c r="G193" i="5" s="1"/>
  <c r="F194" i="5" a="1"/>
  <c r="F194" i="5"/>
  <c r="G194" i="5" s="1"/>
  <c r="F195" i="5" a="1"/>
  <c r="F195" i="5"/>
  <c r="G195" i="5" s="1"/>
  <c r="F196" i="5" a="1"/>
  <c r="F196" i="5"/>
  <c r="G196" i="5" s="1"/>
  <c r="F197" i="5" a="1"/>
  <c r="F197" i="5"/>
  <c r="G197" i="5" s="1"/>
  <c r="F198" i="5" a="1"/>
  <c r="F198" i="5"/>
  <c r="G198" i="5" s="1"/>
  <c r="F199" i="5" a="1"/>
  <c r="F199" i="5"/>
  <c r="G199" i="5" s="1"/>
  <c r="F200" i="5" a="1"/>
  <c r="F200" i="5"/>
  <c r="G200" i="5" s="1"/>
  <c r="F201" i="5" a="1"/>
  <c r="F201" i="5"/>
  <c r="G201" i="5" s="1"/>
  <c r="F202" i="5" a="1"/>
  <c r="F202" i="5"/>
  <c r="G202" i="5" s="1"/>
  <c r="F203" i="5" a="1"/>
  <c r="F203" i="5"/>
  <c r="G203" i="5" s="1"/>
  <c r="F204" i="5" a="1"/>
  <c r="F204" i="5"/>
  <c r="G204" i="5" s="1"/>
  <c r="F205" i="5" a="1"/>
  <c r="F205" i="5"/>
  <c r="G205" i="5" s="1"/>
  <c r="F206" i="5" a="1"/>
  <c r="F206" i="5"/>
  <c r="G206" i="5" s="1"/>
  <c r="F207" i="5" a="1"/>
  <c r="F207" i="5"/>
  <c r="G207" i="5" s="1"/>
  <c r="F208" i="5" a="1"/>
  <c r="F208" i="5"/>
  <c r="G208" i="5" s="1"/>
  <c r="F209" i="5" a="1"/>
  <c r="F209" i="5"/>
  <c r="G209" i="5" s="1"/>
  <c r="F210" i="5" a="1"/>
  <c r="F210" i="5"/>
  <c r="G210" i="5" s="1"/>
  <c r="F211" i="5" a="1"/>
  <c r="F211" i="5"/>
  <c r="G211" i="5" s="1"/>
  <c r="F212" i="5" a="1"/>
  <c r="F212" i="5"/>
  <c r="G212" i="5" s="1"/>
  <c r="F213" i="5" a="1"/>
  <c r="F213" i="5"/>
  <c r="G213" i="5" s="1"/>
  <c r="F214" i="5" a="1"/>
  <c r="F214" i="5"/>
  <c r="G214" i="5" s="1"/>
  <c r="F215" i="5" a="1"/>
  <c r="F215" i="5"/>
  <c r="G215" i="5" s="1"/>
  <c r="F216" i="5" a="1"/>
  <c r="F216" i="5"/>
  <c r="G216" i="5" s="1"/>
  <c r="F217" i="5" a="1"/>
  <c r="F217" i="5"/>
  <c r="G217" i="5" s="1"/>
  <c r="F218" i="5" a="1"/>
  <c r="F218" i="5"/>
  <c r="G218" i="5" s="1"/>
  <c r="F219" i="5" a="1"/>
  <c r="F219" i="5"/>
  <c r="G219" i="5" s="1"/>
  <c r="F220" i="5" a="1"/>
  <c r="F220" i="5"/>
  <c r="G220" i="5" s="1"/>
  <c r="F221" i="5" a="1"/>
  <c r="F221" i="5"/>
  <c r="G221" i="5" s="1"/>
  <c r="F222" i="5" a="1"/>
  <c r="F222" i="5"/>
  <c r="G222" i="5" s="1"/>
  <c r="F223" i="5" a="1"/>
  <c r="F223" i="5"/>
  <c r="G223" i="5" s="1"/>
  <c r="F224" i="5" a="1"/>
  <c r="F224" i="5"/>
  <c r="G224" i="5" s="1"/>
  <c r="F225" i="5" a="1"/>
  <c r="F225" i="5"/>
  <c r="G225" i="5" s="1"/>
  <c r="F226" i="5" a="1"/>
  <c r="F226" i="5"/>
  <c r="G226" i="5" s="1"/>
  <c r="F227" i="5" a="1"/>
  <c r="F227" i="5"/>
  <c r="G227" i="5" s="1"/>
  <c r="F228" i="5" a="1"/>
  <c r="F228" i="5"/>
  <c r="G228" i="5" s="1"/>
  <c r="F229" i="5" a="1"/>
  <c r="F229" i="5"/>
  <c r="G229" i="5" s="1"/>
  <c r="F230" i="5" a="1"/>
  <c r="F230" i="5"/>
  <c r="G230" i="5" s="1"/>
  <c r="F231" i="5" a="1"/>
  <c r="F231" i="5"/>
  <c r="G231" i="5" s="1"/>
  <c r="F232" i="5" a="1"/>
  <c r="F232" i="5"/>
  <c r="G232" i="5" s="1"/>
  <c r="F233" i="5" a="1"/>
  <c r="F233" i="5"/>
  <c r="G233" i="5" s="1"/>
  <c r="F234" i="5" a="1"/>
  <c r="F234" i="5"/>
  <c r="G234" i="5" s="1"/>
  <c r="F235" i="5" a="1"/>
  <c r="F235" i="5"/>
  <c r="G235" i="5" s="1"/>
  <c r="F236" i="5" a="1"/>
  <c r="F236" i="5"/>
  <c r="G236" i="5" s="1"/>
  <c r="F237" i="5" a="1"/>
  <c r="F237" i="5"/>
  <c r="G237" i="5" s="1"/>
  <c r="F238" i="5" a="1"/>
  <c r="F238" i="5"/>
  <c r="G238" i="5" s="1"/>
  <c r="F239" i="5" a="1"/>
  <c r="F239" i="5"/>
  <c r="G239" i="5" s="1"/>
  <c r="F240" i="5" a="1"/>
  <c r="F240" i="5"/>
  <c r="G240" i="5" s="1"/>
  <c r="F241" i="5" a="1"/>
  <c r="F241" i="5"/>
  <c r="G241" i="5" s="1"/>
  <c r="F242" i="5" a="1"/>
  <c r="F242" i="5"/>
  <c r="G242" i="5" s="1"/>
  <c r="F243" i="5" a="1"/>
  <c r="F243" i="5"/>
  <c r="G243" i="5" s="1"/>
  <c r="F244" i="5" a="1"/>
  <c r="F244" i="5"/>
  <c r="G244" i="5" s="1"/>
  <c r="F245" i="5" a="1"/>
  <c r="F245" i="5"/>
  <c r="G245" i="5" s="1"/>
  <c r="F246" i="5" a="1"/>
  <c r="F246" i="5"/>
  <c r="G246" i="5" s="1"/>
  <c r="F247" i="5" a="1"/>
  <c r="F247" i="5"/>
  <c r="G247" i="5" s="1"/>
  <c r="F248" i="5" a="1"/>
  <c r="F248" i="5"/>
  <c r="G248" i="5" s="1"/>
  <c r="F249" i="5" a="1"/>
  <c r="F249" i="5"/>
  <c r="G249" i="5" s="1"/>
  <c r="F250" i="5" a="1"/>
  <c r="F250" i="5"/>
  <c r="G250" i="5" s="1"/>
  <c r="F251" i="5" a="1"/>
  <c r="F251" i="5"/>
  <c r="G251" i="5" s="1"/>
  <c r="F252" i="5" a="1"/>
  <c r="F252" i="5"/>
  <c r="G252" i="5" s="1"/>
  <c r="F253" i="5" a="1"/>
  <c r="F253" i="5"/>
  <c r="G253" i="5" s="1"/>
  <c r="F254" i="5" a="1"/>
  <c r="F254" i="5"/>
  <c r="G254" i="5" s="1"/>
  <c r="F255" i="5" a="1"/>
  <c r="F255" i="5"/>
  <c r="G255" i="5" s="1"/>
  <c r="F256" i="5" a="1"/>
  <c r="F256" i="5"/>
  <c r="G256" i="5" s="1"/>
  <c r="F257" i="5" a="1"/>
  <c r="F257" i="5"/>
  <c r="G257" i="5" s="1"/>
  <c r="F258" i="5" a="1"/>
  <c r="F258" i="5"/>
  <c r="G258" i="5" s="1"/>
  <c r="F259" i="5" a="1"/>
  <c r="F259" i="5"/>
  <c r="G259" i="5" s="1"/>
  <c r="F260" i="5" a="1"/>
  <c r="F260" i="5"/>
  <c r="G260" i="5" s="1"/>
  <c r="F261" i="5" a="1"/>
  <c r="F261" i="5"/>
  <c r="G261" i="5" s="1"/>
  <c r="F262" i="5" a="1"/>
  <c r="F262" i="5"/>
  <c r="G262" i="5" s="1"/>
  <c r="F263" i="5" a="1"/>
  <c r="F263" i="5"/>
  <c r="G263" i="5" s="1"/>
  <c r="F264" i="5" a="1"/>
  <c r="F264" i="5"/>
  <c r="G264" i="5" s="1"/>
  <c r="F265" i="5" a="1"/>
  <c r="F265" i="5"/>
  <c r="G265" i="5" s="1"/>
  <c r="F266" i="5" a="1"/>
  <c r="F266" i="5"/>
  <c r="G266" i="5" s="1"/>
  <c r="F267" i="5" a="1"/>
  <c r="F267" i="5"/>
  <c r="G267" i="5" s="1"/>
  <c r="F268" i="5" a="1"/>
  <c r="F268" i="5"/>
  <c r="G268" i="5" s="1"/>
  <c r="F269" i="5" a="1"/>
  <c r="F269" i="5"/>
  <c r="G269" i="5" s="1"/>
  <c r="F270" i="5" a="1"/>
  <c r="F270" i="5"/>
  <c r="G270" i="5" s="1"/>
  <c r="F271" i="5" a="1"/>
  <c r="F271" i="5"/>
  <c r="G271" i="5" s="1"/>
  <c r="F272" i="5" a="1"/>
  <c r="F272" i="5"/>
  <c r="G272" i="5" s="1"/>
  <c r="F273" i="5" a="1"/>
  <c r="F273" i="5"/>
  <c r="G273" i="5" s="1"/>
  <c r="F274" i="5" a="1"/>
  <c r="F274" i="5"/>
  <c r="G274" i="5" s="1"/>
  <c r="F275" i="5" a="1"/>
  <c r="F275" i="5"/>
  <c r="G275" i="5" s="1"/>
  <c r="F276" i="5" a="1"/>
  <c r="F276" i="5"/>
  <c r="G276" i="5" s="1"/>
  <c r="F277" i="5" a="1"/>
  <c r="F277" i="5"/>
  <c r="G277" i="5" s="1"/>
  <c r="F278" i="5" a="1"/>
  <c r="F278" i="5"/>
  <c r="G278" i="5" s="1"/>
  <c r="F279" i="5" a="1"/>
  <c r="F279" i="5"/>
  <c r="G279" i="5" s="1"/>
  <c r="F280" i="5" a="1"/>
  <c r="F280" i="5"/>
  <c r="G280" i="5" s="1"/>
  <c r="F281" i="5" a="1"/>
  <c r="F281" i="5"/>
  <c r="G281" i="5" s="1"/>
  <c r="F282" i="5" a="1"/>
  <c r="F282" i="5"/>
  <c r="G282" i="5" s="1"/>
  <c r="F283" i="5" a="1"/>
  <c r="F283" i="5"/>
  <c r="G283" i="5" s="1"/>
  <c r="F284" i="5" a="1"/>
  <c r="F284" i="5"/>
  <c r="G284" i="5" s="1"/>
  <c r="F285" i="5" a="1"/>
  <c r="F285" i="5"/>
  <c r="G285" i="5" s="1"/>
  <c r="F286" i="5" a="1"/>
  <c r="F286" i="5"/>
  <c r="G286" i="5" s="1"/>
  <c r="F287" i="5" a="1"/>
  <c r="F287" i="5"/>
  <c r="G287" i="5" s="1"/>
  <c r="F288" i="5" a="1"/>
  <c r="F288" i="5"/>
  <c r="G288" i="5" s="1"/>
  <c r="F289" i="5" a="1"/>
  <c r="F289" i="5"/>
  <c r="G289" i="5" s="1"/>
  <c r="F290" i="5" a="1"/>
  <c r="F290" i="5"/>
  <c r="G290" i="5" s="1"/>
  <c r="F291" i="5" a="1"/>
  <c r="F291" i="5"/>
  <c r="G291" i="5" s="1"/>
  <c r="F292" i="5" a="1"/>
  <c r="F292" i="5"/>
  <c r="G292" i="5" s="1"/>
  <c r="F293" i="5" a="1"/>
  <c r="F293" i="5"/>
  <c r="G293" i="5" s="1"/>
  <c r="F294" i="5" a="1"/>
  <c r="F294" i="5"/>
  <c r="G294" i="5" s="1"/>
  <c r="F295" i="5" a="1"/>
  <c r="F295" i="5"/>
  <c r="G295" i="5" s="1"/>
  <c r="F296" i="5" a="1"/>
  <c r="F296" i="5"/>
  <c r="G296" i="5" s="1"/>
  <c r="F297" i="5" a="1"/>
  <c r="F297" i="5"/>
  <c r="G297" i="5" s="1"/>
  <c r="F298" i="5" a="1"/>
  <c r="F298" i="5"/>
  <c r="G298" i="5" s="1"/>
  <c r="F299" i="5" a="1"/>
  <c r="F299" i="5"/>
  <c r="G299" i="5" s="1"/>
  <c r="F300" i="5" a="1"/>
  <c r="F300" i="5"/>
  <c r="G300" i="5" s="1"/>
  <c r="F301" i="5" a="1"/>
  <c r="F301" i="5"/>
  <c r="G301" i="5" s="1"/>
  <c r="F302" i="5" a="1"/>
  <c r="F302" i="5"/>
  <c r="G302" i="5" s="1"/>
  <c r="F303" i="5" a="1"/>
  <c r="F303" i="5"/>
  <c r="G303" i="5" s="1"/>
  <c r="F304" i="5" a="1"/>
  <c r="F304" i="5"/>
  <c r="G304" i="5" s="1"/>
  <c r="F305" i="5" a="1"/>
  <c r="F305" i="5"/>
  <c r="G305" i="5" s="1"/>
  <c r="F306" i="5" a="1"/>
  <c r="F306" i="5"/>
  <c r="G306" i="5" s="1"/>
  <c r="F307" i="5" a="1"/>
  <c r="F307" i="5"/>
  <c r="G307" i="5" s="1"/>
  <c r="F308" i="5" a="1"/>
  <c r="F308" i="5"/>
  <c r="G308" i="5" s="1"/>
  <c r="F309" i="5" a="1"/>
  <c r="F309" i="5"/>
  <c r="G309" i="5" s="1"/>
  <c r="F310" i="5" a="1"/>
  <c r="F310" i="5"/>
  <c r="G310" i="5" s="1"/>
  <c r="F311" i="5" a="1"/>
  <c r="F311" i="5"/>
  <c r="G311" i="5" s="1"/>
  <c r="F312" i="5" a="1"/>
  <c r="F312" i="5"/>
  <c r="G312" i="5" s="1"/>
  <c r="F313" i="5" a="1"/>
  <c r="F313" i="5"/>
  <c r="G313" i="5" s="1"/>
  <c r="F314" i="5" a="1"/>
  <c r="F314" i="5"/>
  <c r="G314" i="5" s="1"/>
  <c r="F315" i="5" a="1"/>
  <c r="F315" i="5"/>
  <c r="G315" i="5" s="1"/>
  <c r="F316" i="5" a="1"/>
  <c r="F316" i="5"/>
  <c r="G316" i="5" s="1"/>
  <c r="F317" i="5" a="1"/>
  <c r="F317" i="5"/>
  <c r="G317" i="5" s="1"/>
  <c r="F318" i="5" a="1"/>
  <c r="F318" i="5"/>
  <c r="G318" i="5" s="1"/>
  <c r="F319" i="5" a="1"/>
  <c r="F319" i="5"/>
  <c r="G319" i="5" s="1"/>
  <c r="F320" i="5" a="1"/>
  <c r="F320" i="5"/>
  <c r="G320" i="5" s="1"/>
  <c r="F321" i="5" a="1"/>
  <c r="F321" i="5"/>
  <c r="G321" i="5" s="1"/>
  <c r="F322" i="5" a="1"/>
  <c r="F322" i="5"/>
  <c r="G322" i="5" s="1"/>
  <c r="F323" i="5" a="1"/>
  <c r="F323" i="5"/>
  <c r="G323" i="5" s="1"/>
  <c r="F324" i="5" a="1"/>
  <c r="F324" i="5"/>
  <c r="G324" i="5" s="1"/>
  <c r="F325" i="5" a="1"/>
  <c r="F325" i="5"/>
  <c r="G325" i="5" s="1"/>
  <c r="F326" i="5" a="1"/>
  <c r="F326" i="5"/>
  <c r="G326" i="5" s="1"/>
  <c r="F327" i="5" a="1"/>
  <c r="F327" i="5"/>
  <c r="G327" i="5" s="1"/>
  <c r="F328" i="5" a="1"/>
  <c r="F328" i="5"/>
  <c r="G328" i="5" s="1"/>
  <c r="F329" i="5" a="1"/>
  <c r="F329" i="5"/>
  <c r="G329" i="5" s="1"/>
  <c r="F330" i="5" a="1"/>
  <c r="F330" i="5"/>
  <c r="G330" i="5" s="1"/>
  <c r="F331" i="5" a="1"/>
  <c r="F331" i="5"/>
  <c r="G331" i="5" s="1"/>
  <c r="F332" i="5" a="1"/>
  <c r="F332" i="5"/>
  <c r="G332" i="5" s="1"/>
  <c r="F333" i="5" a="1"/>
  <c r="F333" i="5"/>
  <c r="G333" i="5" s="1"/>
  <c r="F334" i="5" a="1"/>
  <c r="F334" i="5"/>
  <c r="G334" i="5" s="1"/>
  <c r="F335" i="5" a="1"/>
  <c r="F335" i="5"/>
  <c r="G335" i="5" s="1"/>
  <c r="F336" i="5" a="1"/>
  <c r="F336" i="5"/>
  <c r="G336" i="5" s="1"/>
  <c r="F337" i="5" a="1"/>
  <c r="F337" i="5"/>
  <c r="G337" i="5" s="1"/>
  <c r="F338" i="5" a="1"/>
  <c r="F338" i="5"/>
  <c r="G338" i="5" s="1"/>
  <c r="F339" i="5" a="1"/>
  <c r="F339" i="5"/>
  <c r="G339" i="5" s="1"/>
  <c r="F340" i="5" a="1"/>
  <c r="F340" i="5"/>
  <c r="G340" i="5" s="1"/>
  <c r="F341" i="5" a="1"/>
  <c r="F341" i="5"/>
  <c r="G341" i="5" s="1"/>
  <c r="F342" i="5" a="1"/>
  <c r="F342" i="5"/>
  <c r="G342" i="5" s="1"/>
  <c r="F343" i="5" a="1"/>
  <c r="F343" i="5"/>
  <c r="G343" i="5" s="1"/>
  <c r="F344" i="5" a="1"/>
  <c r="F344" i="5"/>
  <c r="G344" i="5" s="1"/>
  <c r="F345" i="5" a="1"/>
  <c r="F345" i="5"/>
  <c r="G345" i="5" s="1"/>
  <c r="F346" i="5" a="1"/>
  <c r="F346" i="5"/>
  <c r="G346" i="5" s="1"/>
  <c r="F347" i="5" a="1"/>
  <c r="F347" i="5"/>
  <c r="G347" i="5" s="1"/>
  <c r="F348" i="5" a="1"/>
  <c r="F348" i="5"/>
  <c r="G348" i="5" s="1"/>
  <c r="F349" i="5" a="1"/>
  <c r="F349" i="5"/>
  <c r="G349" i="5" s="1"/>
  <c r="F350" i="5" a="1"/>
  <c r="F350" i="5"/>
  <c r="G350" i="5" s="1"/>
  <c r="F351" i="5" a="1"/>
  <c r="F351" i="5"/>
  <c r="G351" i="5" s="1"/>
  <c r="F352" i="5" a="1"/>
  <c r="F352" i="5"/>
  <c r="G352" i="5" s="1"/>
  <c r="F353" i="5" a="1"/>
  <c r="F353" i="5"/>
  <c r="G353" i="5" s="1"/>
  <c r="F354" i="5" a="1"/>
  <c r="F354" i="5"/>
  <c r="G354" i="5" s="1"/>
  <c r="F355" i="5" a="1"/>
  <c r="F355" i="5"/>
  <c r="G355" i="5" s="1"/>
  <c r="F356" i="5" a="1"/>
  <c r="F356" i="5"/>
  <c r="G356" i="5" s="1"/>
  <c r="F357" i="5" a="1"/>
  <c r="F357" i="5"/>
  <c r="G357" i="5" s="1"/>
  <c r="F358" i="5" a="1"/>
  <c r="F358" i="5"/>
  <c r="G358" i="5" s="1"/>
  <c r="F359" i="5" a="1"/>
  <c r="F359" i="5"/>
  <c r="G359" i="5" s="1"/>
  <c r="F360" i="5" a="1"/>
  <c r="F360" i="5"/>
  <c r="G360" i="5" s="1"/>
  <c r="F361" i="5" a="1"/>
  <c r="F361" i="5"/>
  <c r="G361" i="5" s="1"/>
  <c r="F362" i="5" a="1"/>
  <c r="F362" i="5"/>
  <c r="G362" i="5" s="1"/>
  <c r="F363" i="5" a="1"/>
  <c r="F363" i="5"/>
  <c r="G363" i="5" s="1"/>
  <c r="F364" i="5" a="1"/>
  <c r="F364" i="5"/>
  <c r="G364" i="5" s="1"/>
  <c r="F365" i="5" a="1"/>
  <c r="F365" i="5"/>
  <c r="G365" i="5" s="1"/>
  <c r="F366" i="5" a="1"/>
  <c r="F366" i="5"/>
  <c r="G366" i="5" s="1"/>
  <c r="F367" i="5" a="1"/>
  <c r="F367" i="5"/>
  <c r="G367" i="5" s="1"/>
  <c r="F368" i="5" a="1"/>
  <c r="F368" i="5"/>
  <c r="G368" i="5" s="1"/>
  <c r="F369" i="5" a="1"/>
  <c r="F369" i="5"/>
  <c r="G369" i="5" s="1"/>
  <c r="F370" i="5" a="1"/>
  <c r="F370" i="5"/>
  <c r="G370" i="5" s="1"/>
  <c r="F371" i="5" a="1"/>
  <c r="F371" i="5"/>
  <c r="G371" i="5" s="1"/>
  <c r="F372" i="5" a="1"/>
  <c r="F372" i="5"/>
  <c r="G372" i="5" s="1"/>
  <c r="F373" i="5" a="1"/>
  <c r="F373" i="5"/>
  <c r="G373" i="5" s="1"/>
  <c r="F374" i="5" a="1"/>
  <c r="F374" i="5"/>
  <c r="G374" i="5" s="1"/>
  <c r="F375" i="5" a="1"/>
  <c r="F375" i="5"/>
  <c r="G375" i="5" s="1"/>
  <c r="F376" i="5" a="1"/>
  <c r="F376" i="5"/>
  <c r="G376" i="5" s="1"/>
  <c r="F377" i="5" a="1"/>
  <c r="F377" i="5"/>
  <c r="G377" i="5" s="1"/>
  <c r="F378" i="5" a="1"/>
  <c r="F378" i="5"/>
  <c r="G378" i="5" s="1"/>
  <c r="F379" i="5" a="1"/>
  <c r="F379" i="5"/>
  <c r="G379" i="5" s="1"/>
  <c r="F380" i="5" a="1"/>
  <c r="F380" i="5"/>
  <c r="G380" i="5" s="1"/>
  <c r="F381" i="5" a="1"/>
  <c r="F381" i="5"/>
  <c r="G381" i="5" s="1"/>
  <c r="F382" i="5" a="1"/>
  <c r="F382" i="5"/>
  <c r="G382" i="5" s="1"/>
  <c r="F383" i="5" a="1"/>
  <c r="F383" i="5"/>
  <c r="G383" i="5" s="1"/>
  <c r="F384" i="5" a="1"/>
  <c r="F384" i="5"/>
  <c r="G384" i="5" s="1"/>
  <c r="F385" i="5" a="1"/>
  <c r="F385" i="5"/>
  <c r="G385" i="5" s="1"/>
  <c r="F386" i="5" a="1"/>
  <c r="F386" i="5"/>
  <c r="G386" i="5" s="1"/>
  <c r="F387" i="5" a="1"/>
  <c r="F387" i="5"/>
  <c r="G387" i="5" s="1"/>
  <c r="F388" i="5" a="1"/>
  <c r="F388" i="5"/>
  <c r="G388" i="5" s="1"/>
  <c r="F389" i="5" a="1"/>
  <c r="F389" i="5"/>
  <c r="G389" i="5" s="1"/>
  <c r="F390" i="5" a="1"/>
  <c r="F390" i="5"/>
  <c r="G390" i="5" s="1"/>
  <c r="F391" i="5" a="1"/>
  <c r="F391" i="5"/>
  <c r="G391" i="5" s="1"/>
  <c r="F392" i="5" a="1"/>
  <c r="F392" i="5"/>
  <c r="G392" i="5" s="1"/>
  <c r="F393" i="5" a="1"/>
  <c r="F393" i="5"/>
  <c r="G393" i="5" s="1"/>
  <c r="F394" i="5" a="1"/>
  <c r="F394" i="5"/>
  <c r="G394" i="5" s="1"/>
  <c r="F395" i="5" a="1"/>
  <c r="F395" i="5"/>
  <c r="G395" i="5" s="1"/>
  <c r="F396" i="5" a="1"/>
  <c r="F396" i="5"/>
  <c r="G396" i="5" s="1"/>
  <c r="F397" i="5" a="1"/>
  <c r="F397" i="5"/>
  <c r="G397" i="5" s="1"/>
  <c r="F398" i="5" a="1"/>
  <c r="F398" i="5"/>
  <c r="G398" i="5" s="1"/>
  <c r="F399" i="5" a="1"/>
  <c r="F399" i="5"/>
  <c r="G399" i="5" s="1"/>
  <c r="F400" i="5" a="1"/>
  <c r="F400" i="5"/>
  <c r="G400" i="5" s="1"/>
  <c r="F401" i="5" a="1"/>
  <c r="F401" i="5"/>
  <c r="G401" i="5" s="1"/>
  <c r="F402" i="5" a="1"/>
  <c r="F402" i="5"/>
  <c r="G402" i="5" s="1"/>
  <c r="F403" i="5" a="1"/>
  <c r="F403" i="5"/>
  <c r="G403" i="5" s="1"/>
  <c r="F404" i="5" a="1"/>
  <c r="F404" i="5"/>
  <c r="G404" i="5" s="1"/>
  <c r="F405" i="5" a="1"/>
  <c r="F405" i="5"/>
  <c r="G405" i="5" s="1"/>
  <c r="F406" i="5" a="1"/>
  <c r="F406" i="5"/>
  <c r="G406" i="5" s="1"/>
  <c r="F407" i="5" a="1"/>
  <c r="F407" i="5"/>
  <c r="G407" i="5" s="1"/>
  <c r="F408" i="5" a="1"/>
  <c r="F408" i="5"/>
  <c r="G408" i="5" s="1"/>
  <c r="F409" i="5" a="1"/>
  <c r="F409" i="5"/>
  <c r="G409" i="5" s="1"/>
  <c r="F410" i="5" a="1"/>
  <c r="F410" i="5"/>
  <c r="G410" i="5" s="1"/>
  <c r="F411" i="5" a="1"/>
  <c r="F411" i="5"/>
  <c r="G411" i="5" s="1"/>
  <c r="F412" i="5" a="1"/>
  <c r="F412" i="5"/>
  <c r="G412" i="5" s="1"/>
  <c r="F413" i="5" a="1"/>
  <c r="F413" i="5"/>
  <c r="G413" i="5" s="1"/>
  <c r="F414" i="5" a="1"/>
  <c r="F414" i="5"/>
  <c r="G414" i="5" s="1"/>
  <c r="F415" i="5" a="1"/>
  <c r="F415" i="5"/>
  <c r="G415" i="5" s="1"/>
  <c r="F416" i="5" a="1"/>
  <c r="F416" i="5"/>
  <c r="G416" i="5" s="1"/>
  <c r="F417" i="5" a="1"/>
  <c r="F417" i="5"/>
  <c r="G417" i="5" s="1"/>
  <c r="F418" i="5" a="1"/>
  <c r="F418" i="5"/>
  <c r="G418" i="5" s="1"/>
  <c r="F419" i="5" a="1"/>
  <c r="F419" i="5"/>
  <c r="G419" i="5" s="1"/>
  <c r="F420" i="5" a="1"/>
  <c r="F420" i="5"/>
  <c r="G420" i="5" s="1"/>
  <c r="F421" i="5" a="1"/>
  <c r="F421" i="5"/>
  <c r="G421" i="5" s="1"/>
  <c r="F422" i="5" a="1"/>
  <c r="F422" i="5"/>
  <c r="G422" i="5" s="1"/>
  <c r="F423" i="5" a="1"/>
  <c r="F423" i="5"/>
  <c r="G423" i="5" s="1"/>
  <c r="F424" i="5" a="1"/>
  <c r="F424" i="5"/>
  <c r="G424" i="5" s="1"/>
  <c r="F425" i="5" a="1"/>
  <c r="F425" i="5"/>
  <c r="G425" i="5" s="1"/>
  <c r="F426" i="5" a="1"/>
  <c r="F426" i="5"/>
  <c r="G426" i="5" s="1"/>
  <c r="F427" i="5" a="1"/>
  <c r="F427" i="5"/>
  <c r="G427" i="5" s="1"/>
  <c r="F428" i="5" a="1"/>
  <c r="F428" i="5"/>
  <c r="G428" i="5" s="1"/>
  <c r="F429" i="5" a="1"/>
  <c r="F429" i="5"/>
  <c r="G429" i="5" s="1"/>
  <c r="F430" i="5" a="1"/>
  <c r="F430" i="5"/>
  <c r="G430" i="5" s="1"/>
  <c r="F431" i="5" a="1"/>
  <c r="F431" i="5"/>
  <c r="G431" i="5" s="1"/>
  <c r="F432" i="5" a="1"/>
  <c r="F432" i="5"/>
  <c r="G432" i="5" s="1"/>
  <c r="F433" i="5" a="1"/>
  <c r="F433" i="5"/>
  <c r="G433" i="5" s="1"/>
  <c r="F434" i="5" a="1"/>
  <c r="F434" i="5"/>
  <c r="G434" i="5" s="1"/>
  <c r="F435" i="5" a="1"/>
  <c r="F435" i="5"/>
  <c r="G435" i="5" s="1"/>
  <c r="F436" i="5" a="1"/>
  <c r="F436" i="5"/>
  <c r="G436" i="5" s="1"/>
  <c r="F437" i="5" a="1"/>
  <c r="F437" i="5"/>
  <c r="G437" i="5" s="1"/>
  <c r="F438" i="5" a="1"/>
  <c r="F438" i="5"/>
  <c r="G438" i="5" s="1"/>
  <c r="F439" i="5" a="1"/>
  <c r="F439" i="5"/>
  <c r="G439" i="5" s="1"/>
  <c r="F440" i="5" a="1"/>
  <c r="F440" i="5"/>
  <c r="G440" i="5" s="1"/>
  <c r="F441" i="5" a="1"/>
  <c r="F441" i="5"/>
  <c r="G441" i="5" s="1"/>
  <c r="F442" i="5" a="1"/>
  <c r="F442" i="5"/>
  <c r="G442" i="5" s="1"/>
  <c r="F443" i="5" a="1"/>
  <c r="F443" i="5"/>
  <c r="G443" i="5" s="1"/>
  <c r="F444" i="5" a="1"/>
  <c r="F444" i="5"/>
  <c r="G444" i="5" s="1"/>
  <c r="F445" i="5" a="1"/>
  <c r="F445" i="5"/>
  <c r="G445" i="5" s="1"/>
  <c r="F446" i="5" a="1"/>
  <c r="F446" i="5"/>
  <c r="G446" i="5" s="1"/>
  <c r="F447" i="5" a="1"/>
  <c r="F447" i="5"/>
  <c r="G447" i="5" s="1"/>
  <c r="F448" i="5" a="1"/>
  <c r="F448" i="5"/>
  <c r="G448" i="5" s="1"/>
  <c r="F449" i="5" a="1"/>
  <c r="F449" i="5"/>
  <c r="G449" i="5" s="1"/>
  <c r="F450" i="5" a="1"/>
  <c r="F450" i="5"/>
  <c r="G450" i="5" s="1"/>
  <c r="F451" i="5" a="1"/>
  <c r="F451" i="5"/>
  <c r="G451" i="5" s="1"/>
  <c r="F452" i="5" a="1"/>
  <c r="F452" i="5"/>
  <c r="G452" i="5" s="1"/>
  <c r="F453" i="5" a="1"/>
  <c r="F453" i="5"/>
  <c r="G453" i="5" s="1"/>
  <c r="F454" i="5" a="1"/>
  <c r="F454" i="5"/>
  <c r="G454" i="5" s="1"/>
  <c r="F455" i="5" a="1"/>
  <c r="F455" i="5"/>
  <c r="G455" i="5" s="1"/>
  <c r="F456" i="5" a="1"/>
  <c r="F456" i="5"/>
  <c r="G456" i="5" s="1"/>
  <c r="F457" i="5" a="1"/>
  <c r="F457" i="5"/>
  <c r="G457" i="5" s="1"/>
  <c r="F458" i="5" a="1"/>
  <c r="F458" i="5"/>
  <c r="G458" i="5" s="1"/>
  <c r="F459" i="5" a="1"/>
  <c r="F459" i="5"/>
  <c r="G459" i="5" s="1"/>
  <c r="F460" i="5" a="1"/>
  <c r="F460" i="5"/>
  <c r="G460" i="5" s="1"/>
  <c r="F461" i="5" a="1"/>
  <c r="F461" i="5"/>
  <c r="G461" i="5" s="1"/>
  <c r="F462" i="5" a="1"/>
  <c r="F462" i="5"/>
  <c r="G462" i="5" s="1"/>
  <c r="F463" i="5" a="1"/>
  <c r="F463" i="5"/>
  <c r="G463" i="5" s="1"/>
  <c r="F464" i="5" a="1"/>
  <c r="F464" i="5"/>
  <c r="G464" i="5" s="1"/>
  <c r="F465" i="5" a="1"/>
  <c r="F465" i="5"/>
  <c r="G465" i="5" s="1"/>
  <c r="F466" i="5" a="1"/>
  <c r="F466" i="5"/>
  <c r="G466" i="5" s="1"/>
  <c r="F467" i="5" a="1"/>
  <c r="F467" i="5"/>
  <c r="G467" i="5" s="1"/>
  <c r="F468" i="5" a="1"/>
  <c r="F468" i="5"/>
  <c r="G468" i="5" s="1"/>
  <c r="F469" i="5" a="1"/>
  <c r="F469" i="5"/>
  <c r="G469" i="5" s="1"/>
  <c r="F470" i="5" a="1"/>
  <c r="F470" i="5"/>
  <c r="G470" i="5" s="1"/>
  <c r="F471" i="5" a="1"/>
  <c r="F471" i="5"/>
  <c r="G471" i="5" s="1"/>
  <c r="F472" i="5" a="1"/>
  <c r="F472" i="5"/>
  <c r="G472" i="5" s="1"/>
  <c r="F473" i="5" a="1"/>
  <c r="F473" i="5"/>
  <c r="G473" i="5" s="1"/>
  <c r="F474" i="5" a="1"/>
  <c r="F474" i="5"/>
  <c r="G474" i="5" s="1"/>
  <c r="F475" i="5" a="1"/>
  <c r="F475" i="5"/>
  <c r="G475" i="5" s="1"/>
  <c r="F476" i="5" a="1"/>
  <c r="F476" i="5"/>
  <c r="G476" i="5" s="1"/>
  <c r="F477" i="5" a="1"/>
  <c r="F477" i="5"/>
  <c r="G477" i="5" s="1"/>
  <c r="F478" i="5" a="1"/>
  <c r="F478" i="5"/>
  <c r="G478" i="5" s="1"/>
  <c r="F479" i="5" a="1"/>
  <c r="F479" i="5"/>
  <c r="G479" i="5" s="1"/>
  <c r="F480" i="5" a="1"/>
  <c r="F480" i="5"/>
  <c r="G480" i="5" s="1"/>
  <c r="F481" i="5" a="1"/>
  <c r="F481" i="5"/>
  <c r="G481" i="5" s="1"/>
  <c r="F482" i="5" a="1"/>
  <c r="F482" i="5"/>
  <c r="G482" i="5" s="1"/>
  <c r="F483" i="5" a="1"/>
  <c r="F483" i="5"/>
  <c r="G483" i="5" s="1"/>
  <c r="F484" i="5" a="1"/>
  <c r="F484" i="5"/>
  <c r="G484" i="5" s="1"/>
  <c r="F485" i="5" a="1"/>
  <c r="F485" i="5"/>
  <c r="G485" i="5" s="1"/>
  <c r="F486" i="5" a="1"/>
  <c r="F486" i="5"/>
  <c r="G486" i="5" s="1"/>
  <c r="F487" i="5" a="1"/>
  <c r="F487" i="5"/>
  <c r="G487" i="5" s="1"/>
  <c r="F488" i="5" a="1"/>
  <c r="F488" i="5"/>
  <c r="G488" i="5" s="1"/>
  <c r="F489" i="5" a="1"/>
  <c r="F489" i="5"/>
  <c r="G489" i="5" s="1"/>
  <c r="F490" i="5" a="1"/>
  <c r="F490" i="5"/>
  <c r="G490" i="5" s="1"/>
  <c r="F491" i="5" a="1"/>
  <c r="F491" i="5"/>
  <c r="G491" i="5" s="1"/>
  <c r="F492" i="5" a="1"/>
  <c r="F492" i="5"/>
  <c r="G492" i="5" s="1"/>
  <c r="F493" i="5" a="1"/>
  <c r="F493" i="5"/>
  <c r="G493" i="5" s="1"/>
  <c r="F494" i="5" a="1"/>
  <c r="F494" i="5"/>
  <c r="G494" i="5" s="1"/>
  <c r="F495" i="5" a="1"/>
  <c r="F495" i="5"/>
  <c r="G495" i="5" s="1"/>
  <c r="F496" i="5" a="1"/>
  <c r="F496" i="5"/>
  <c r="G496" i="5" s="1"/>
  <c r="F497" i="5" a="1"/>
  <c r="F497" i="5"/>
  <c r="G497" i="5" s="1"/>
  <c r="F498" i="5" a="1"/>
  <c r="F498" i="5"/>
  <c r="G498" i="5" s="1"/>
  <c r="F499" i="5" a="1"/>
  <c r="F499" i="5"/>
  <c r="G499" i="5" s="1"/>
  <c r="F500" i="5" a="1"/>
  <c r="F500" i="5"/>
  <c r="G500" i="5" s="1"/>
  <c r="F501" i="5" a="1"/>
  <c r="F501" i="5"/>
  <c r="G501" i="5" s="1"/>
  <c r="F502" i="5" a="1"/>
  <c r="F502" i="5"/>
  <c r="G502" i="5" s="1"/>
  <c r="F503" i="5" a="1"/>
  <c r="F503" i="5"/>
  <c r="G503" i="5" s="1"/>
  <c r="F504" i="5" a="1"/>
  <c r="F504" i="5"/>
  <c r="G504" i="5" s="1"/>
  <c r="F505" i="5" a="1"/>
  <c r="F505" i="5"/>
  <c r="G505" i="5" s="1"/>
  <c r="B41" i="4" a="1"/>
  <c r="B41" i="4"/>
  <c r="B10" i="4" a="1"/>
  <c r="B10" i="4"/>
  <c r="T4" i="4" a="1"/>
  <c r="T4" i="4"/>
  <c r="B2" i="3" a="1"/>
  <c r="B2" i="3"/>
  <c r="E2" i="3" a="1"/>
  <c r="E2" i="3"/>
  <c r="C25" i="2" a="1"/>
  <c r="C25" i="2"/>
  <c r="D14" i="2" a="1"/>
  <c r="D14" i="2"/>
  <c r="E9" i="2" a="1"/>
  <c r="E9" i="2"/>
  <c r="E5" i="2" a="1"/>
  <c r="E5" i="2"/>
  <c r="E3" i="1" a="1"/>
  <c r="E3" i="1"/>
  <c r="D3" i="1" a="1"/>
  <c r="D3" i="1"/>
  <c r="B3" i="1" a="1"/>
  <c r="B3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<sst xmlns="http://schemas.openxmlformats.org/spreadsheetml/2006/main" count="3478" uniqueCount="640">
  <si>
    <t>Any Column Filter</t>
  </si>
  <si>
    <t>Name</t>
  </si>
  <si>
    <t>Emp ID</t>
  </si>
  <si>
    <t>Gender</t>
  </si>
  <si>
    <t>Education Qualification</t>
  </si>
  <si>
    <t>Date of Join</t>
  </si>
  <si>
    <t>Job Title</t>
  </si>
  <si>
    <t>Salary</t>
  </si>
  <si>
    <t>Age</t>
  </si>
  <si>
    <r>
      <rPr>
        <sz val="11"/>
        <color rgb="FF000000"/>
        <rFont val="Aptos Narrow"/>
      </rPr>
      <t xml:space="preserve">Search By:     </t>
    </r>
    <r>
      <rPr>
        <sz val="11"/>
        <color rgb="FFFF0000"/>
        <rFont val="Aptos Narrow"/>
      </rPr>
      <t xml:space="preserve"> (1 column)</t>
    </r>
  </si>
  <si>
    <r>
      <rPr>
        <sz val="11"/>
        <color rgb="FF000000"/>
        <rFont val="Aptos Narrow"/>
      </rPr>
      <t xml:space="preserve">Search By:     </t>
    </r>
    <r>
      <rPr>
        <sz val="11"/>
        <color rgb="FFFF0000"/>
        <rFont val="Aptos Narrow"/>
      </rPr>
      <t xml:space="preserve"> (All column)</t>
    </r>
  </si>
  <si>
    <t>Barank Obama</t>
  </si>
  <si>
    <t>AC0001</t>
  </si>
  <si>
    <t>Male</t>
  </si>
  <si>
    <t>Bachelor's Degree</t>
  </si>
  <si>
    <t>Chocolatier</t>
  </si>
  <si>
    <t>Bush</t>
  </si>
  <si>
    <t>ast</t>
  </si>
  <si>
    <t>Large Bush</t>
  </si>
  <si>
    <t>AC0002</t>
  </si>
  <si>
    <t>Female</t>
  </si>
  <si>
    <t>Diploma</t>
  </si>
  <si>
    <t>Production Operator</t>
  </si>
  <si>
    <t>Fill Clinton</t>
  </si>
  <si>
    <t>AC0003</t>
  </si>
  <si>
    <t>High School Diploma</t>
  </si>
  <si>
    <t>Packaging Associate</t>
  </si>
  <si>
    <t>Matching Records</t>
  </si>
  <si>
    <t>Donald Roundup</t>
  </si>
  <si>
    <t>AC0004</t>
  </si>
  <si>
    <t>Marketing Specialist</t>
  </si>
  <si>
    <t>Now Biden</t>
  </si>
  <si>
    <t>AC0005</t>
  </si>
  <si>
    <t>Master's Degree</t>
  </si>
  <si>
    <t>Research Scientist</t>
  </si>
  <si>
    <t>ROWland Reagan</t>
  </si>
  <si>
    <t>AC0006</t>
  </si>
  <si>
    <t>Sales Representative</t>
  </si>
  <si>
    <t>Jimmy Charter</t>
  </si>
  <si>
    <t>AC0007</t>
  </si>
  <si>
    <t>Gerald Find</t>
  </si>
  <si>
    <t>AC0008</t>
  </si>
  <si>
    <t>Quality Control</t>
  </si>
  <si>
    <t>Richard Function</t>
  </si>
  <si>
    <t>AC0009</t>
  </si>
  <si>
    <t>Research Analyst</t>
  </si>
  <si>
    <t>Abraham LinColumn</t>
  </si>
  <si>
    <t>AC0010</t>
  </si>
  <si>
    <t>Product Manager</t>
  </si>
  <si>
    <t>Harry S TRUEman</t>
  </si>
  <si>
    <t>AC0011</t>
  </si>
  <si>
    <t>John IF Kennedy</t>
  </si>
  <si>
    <t>AC0012</t>
  </si>
  <si>
    <t>Wood ROW Wilson</t>
  </si>
  <si>
    <t>AC0013</t>
  </si>
  <si>
    <t>Franklin D Choosevelt</t>
  </si>
  <si>
    <t>AC0014</t>
  </si>
  <si>
    <t>Marketing Manager</t>
  </si>
  <si>
    <t>Ulysses S. GrandTotal</t>
  </si>
  <si>
    <t>AC0015</t>
  </si>
  <si>
    <t>Bachelor</t>
  </si>
  <si>
    <t>Dwight D. EisenLower</t>
  </si>
  <si>
    <t>AC0016</t>
  </si>
  <si>
    <t>Exact Hoover</t>
  </si>
  <si>
    <t>AC0017</t>
  </si>
  <si>
    <t>Amitabh FUNCTION</t>
  </si>
  <si>
    <t>AC0018</t>
  </si>
  <si>
    <t>Shahrukh SCAN</t>
  </si>
  <si>
    <t>AC0019</t>
  </si>
  <si>
    <t>Master</t>
  </si>
  <si>
    <t>Aishwarya ROW</t>
  </si>
  <si>
    <t>AC0020</t>
  </si>
  <si>
    <t>Rajini COTH</t>
  </si>
  <si>
    <t>AC0021</t>
  </si>
  <si>
    <t>Mammo T</t>
  </si>
  <si>
    <t>AC0022</t>
  </si>
  <si>
    <t>Pra BASE</t>
  </si>
  <si>
    <t>AC0023</t>
  </si>
  <si>
    <t>ROMAN Irani</t>
  </si>
  <si>
    <t>AC0024</t>
  </si>
  <si>
    <t>SUM Antha</t>
  </si>
  <si>
    <t>AC0025</t>
  </si>
  <si>
    <t>Alia BAHTTEXT</t>
  </si>
  <si>
    <t>AC0026</t>
  </si>
  <si>
    <t>Kaj ALL</t>
  </si>
  <si>
    <t>AC0027</t>
  </si>
  <si>
    <t>VALUE Arjun</t>
  </si>
  <si>
    <t>AC0028</t>
  </si>
  <si>
    <t>ShaHIDE Kapoor</t>
  </si>
  <si>
    <t>AC0029</t>
  </si>
  <si>
    <t>Paresh ROWLEVEL</t>
  </si>
  <si>
    <t>AC0030</t>
  </si>
  <si>
    <t>Mani RatNAME</t>
  </si>
  <si>
    <t>AC0031</t>
  </si>
  <si>
    <t>ViRIGHT Kohli</t>
  </si>
  <si>
    <t>AC0032</t>
  </si>
  <si>
    <t>SachIF Tendulkar</t>
  </si>
  <si>
    <t>AC0033</t>
  </si>
  <si>
    <t>Kapil DAY</t>
  </si>
  <si>
    <t>AC0034</t>
  </si>
  <si>
    <t>VishwanaTAN AnAND</t>
  </si>
  <si>
    <t>AC0035</t>
  </si>
  <si>
    <t> </t>
  </si>
  <si>
    <t>FX Converter</t>
  </si>
  <si>
    <t>1 NZD in</t>
  </si>
  <si>
    <t>Calcualte correct NZD amount on each date using the exchange rate information in columns M:Q</t>
  </si>
  <si>
    <t>Date</t>
  </si>
  <si>
    <t>USD</t>
  </si>
  <si>
    <t>AUD</t>
  </si>
  <si>
    <t>EUR</t>
  </si>
  <si>
    <t>INR</t>
  </si>
  <si>
    <t>Receipt_Id</t>
  </si>
  <si>
    <t>Amount</t>
  </si>
  <si>
    <t>Currency</t>
  </si>
  <si>
    <t>Exchange rate</t>
  </si>
  <si>
    <t>Amount in NZD</t>
  </si>
  <si>
    <t>R_23007</t>
  </si>
  <si>
    <t>R_23008</t>
  </si>
  <si>
    <t>R_23009</t>
  </si>
  <si>
    <t>R_23010</t>
  </si>
  <si>
    <t>R_23011</t>
  </si>
  <si>
    <t>R_23012</t>
  </si>
  <si>
    <t>R_23013</t>
  </si>
  <si>
    <t>R_23014</t>
  </si>
  <si>
    <t>NZD</t>
  </si>
  <si>
    <t>R_23015</t>
  </si>
  <si>
    <t>R_23016</t>
  </si>
  <si>
    <t>R_23017</t>
  </si>
  <si>
    <t>R_23018</t>
  </si>
  <si>
    <t>R_23019</t>
  </si>
  <si>
    <t>R_23020</t>
  </si>
  <si>
    <t>R_23021</t>
  </si>
  <si>
    <t>R_23022</t>
  </si>
  <si>
    <t>R_23023</t>
  </si>
  <si>
    <t>R_23024</t>
  </si>
  <si>
    <t>R_23025</t>
  </si>
  <si>
    <t>R_23026</t>
  </si>
  <si>
    <t>R_23027</t>
  </si>
  <si>
    <t>R_23028</t>
  </si>
  <si>
    <t>R_23029</t>
  </si>
  <si>
    <t>R_23030</t>
  </si>
  <si>
    <t>R_23031</t>
  </si>
  <si>
    <t>R_23032</t>
  </si>
  <si>
    <t>R_23033</t>
  </si>
  <si>
    <t>R_23034</t>
  </si>
  <si>
    <t>R_23035</t>
  </si>
  <si>
    <t>R_23036</t>
  </si>
  <si>
    <t>R_23037</t>
  </si>
  <si>
    <t>R_23038</t>
  </si>
  <si>
    <t>R_23039</t>
  </si>
  <si>
    <t>R_23040</t>
  </si>
  <si>
    <t>R_23041</t>
  </si>
  <si>
    <t>R_23042</t>
  </si>
  <si>
    <t>R_23043</t>
  </si>
  <si>
    <t>R_23044</t>
  </si>
  <si>
    <t>R_23045</t>
  </si>
  <si>
    <t>R_23046</t>
  </si>
  <si>
    <t>R_23047</t>
  </si>
  <si>
    <t>R_23048</t>
  </si>
  <si>
    <t>R_23049</t>
  </si>
  <si>
    <t>R_23050</t>
  </si>
  <si>
    <t>R_23051</t>
  </si>
  <si>
    <t>R_23052</t>
  </si>
  <si>
    <t>R_23053</t>
  </si>
  <si>
    <t>R_23054</t>
  </si>
  <si>
    <t>R_23055</t>
  </si>
  <si>
    <t>R_23056</t>
  </si>
  <si>
    <t>R_23057</t>
  </si>
  <si>
    <t>R_23058</t>
  </si>
  <si>
    <t>R_23059</t>
  </si>
  <si>
    <t>R_23060</t>
  </si>
  <si>
    <t>R_23061</t>
  </si>
  <si>
    <t>R_23062</t>
  </si>
  <si>
    <t>R_23063</t>
  </si>
  <si>
    <t>R_23064</t>
  </si>
  <si>
    <t>R_23065</t>
  </si>
  <si>
    <t>R_23066</t>
  </si>
  <si>
    <t>R_23067</t>
  </si>
  <si>
    <t>R_23068</t>
  </si>
  <si>
    <t>R_23069</t>
  </si>
  <si>
    <t>R_23070</t>
  </si>
  <si>
    <t>R_23071</t>
  </si>
  <si>
    <t>R_23072</t>
  </si>
  <si>
    <t>R_23073</t>
  </si>
  <si>
    <t>R_23074</t>
  </si>
  <si>
    <t>R_23075</t>
  </si>
  <si>
    <t>R_23076</t>
  </si>
  <si>
    <t>R_23077</t>
  </si>
  <si>
    <t>R_23078</t>
  </si>
  <si>
    <t>R_23079</t>
  </si>
  <si>
    <t>R_23080</t>
  </si>
  <si>
    <t>R_23081</t>
  </si>
  <si>
    <t>R_23082</t>
  </si>
  <si>
    <t>R_23083</t>
  </si>
  <si>
    <t>R_23084</t>
  </si>
  <si>
    <t>R_23085</t>
  </si>
  <si>
    <t>R_23086</t>
  </si>
  <si>
    <t>R_23087</t>
  </si>
  <si>
    <t>R_23088</t>
  </si>
  <si>
    <t>R_23089</t>
  </si>
  <si>
    <t>R_23090</t>
  </si>
  <si>
    <t>R_23091</t>
  </si>
  <si>
    <t>R_23092</t>
  </si>
  <si>
    <t>R_23093</t>
  </si>
  <si>
    <t>R_23094</t>
  </si>
  <si>
    <t>R_23095</t>
  </si>
  <si>
    <t>R_23096</t>
  </si>
  <si>
    <t>R_23097</t>
  </si>
  <si>
    <t>R_23098</t>
  </si>
  <si>
    <t>R_23099</t>
  </si>
  <si>
    <t>R_23100</t>
  </si>
  <si>
    <t>R_23101</t>
  </si>
  <si>
    <t>R_23102</t>
  </si>
  <si>
    <t>R_23103</t>
  </si>
  <si>
    <t>R_23104</t>
  </si>
  <si>
    <t>R_23105</t>
  </si>
  <si>
    <t>R_23106</t>
  </si>
  <si>
    <t>R_23107</t>
  </si>
  <si>
    <t>R_23108</t>
  </si>
  <si>
    <t>R_23109</t>
  </si>
  <si>
    <t>R_23110</t>
  </si>
  <si>
    <t>R_23111</t>
  </si>
  <si>
    <t>R_23112</t>
  </si>
  <si>
    <t>R_23113</t>
  </si>
  <si>
    <t>R_23114</t>
  </si>
  <si>
    <t>R_23115</t>
  </si>
  <si>
    <t>R_23116</t>
  </si>
  <si>
    <t>R_23117</t>
  </si>
  <si>
    <t>R_23118</t>
  </si>
  <si>
    <t>R_23119</t>
  </si>
  <si>
    <t>R_23120</t>
  </si>
  <si>
    <t>R_23121</t>
  </si>
  <si>
    <t>R_23122</t>
  </si>
  <si>
    <t>R_23123</t>
  </si>
  <si>
    <t>R_23124</t>
  </si>
  <si>
    <t>R_23125</t>
  </si>
  <si>
    <t>R_23126</t>
  </si>
  <si>
    <t>R_23127</t>
  </si>
  <si>
    <t>R_23128</t>
  </si>
  <si>
    <t>R_23129</t>
  </si>
  <si>
    <t>R_23130</t>
  </si>
  <si>
    <t>R_23131</t>
  </si>
  <si>
    <t>R_23132</t>
  </si>
  <si>
    <t>R_23133</t>
  </si>
  <si>
    <t>R_23134</t>
  </si>
  <si>
    <t>R_23135</t>
  </si>
  <si>
    <t>R_23136</t>
  </si>
  <si>
    <t>R_23137</t>
  </si>
  <si>
    <t>R_23138</t>
  </si>
  <si>
    <t>R_23139</t>
  </si>
  <si>
    <t>R_23140</t>
  </si>
  <si>
    <t>R_23141</t>
  </si>
  <si>
    <t>R_23142</t>
  </si>
  <si>
    <t>R_23143</t>
  </si>
  <si>
    <t>R_23144</t>
  </si>
  <si>
    <t>R_23145</t>
  </si>
  <si>
    <t>R_23146</t>
  </si>
  <si>
    <t>R_23147</t>
  </si>
  <si>
    <t>R_23148</t>
  </si>
  <si>
    <t>R_23149</t>
  </si>
  <si>
    <t>R_23150</t>
  </si>
  <si>
    <t>R_23151</t>
  </si>
  <si>
    <t>R_23152</t>
  </si>
  <si>
    <t>R_23153</t>
  </si>
  <si>
    <t>R_23154</t>
  </si>
  <si>
    <t>R_23155</t>
  </si>
  <si>
    <t>R_23156</t>
  </si>
  <si>
    <t>R_23157</t>
  </si>
  <si>
    <t>R_23158</t>
  </si>
  <si>
    <t>R_23159</t>
  </si>
  <si>
    <t>R_23160</t>
  </si>
  <si>
    <t>R_23161</t>
  </si>
  <si>
    <t>R_23162</t>
  </si>
  <si>
    <t>R_23163</t>
  </si>
  <si>
    <t>R_23164</t>
  </si>
  <si>
    <t>R_23165</t>
  </si>
  <si>
    <t>R_23166</t>
  </si>
  <si>
    <t>R_23167</t>
  </si>
  <si>
    <t>R_23168</t>
  </si>
  <si>
    <t>R_23169</t>
  </si>
  <si>
    <t>R_23170</t>
  </si>
  <si>
    <t>R_23171</t>
  </si>
  <si>
    <t>R_23172</t>
  </si>
  <si>
    <t>R_23173</t>
  </si>
  <si>
    <t>R_23174</t>
  </si>
  <si>
    <t>R_23175</t>
  </si>
  <si>
    <t>R_23176</t>
  </si>
  <si>
    <t>R_23177</t>
  </si>
  <si>
    <t>R_23178</t>
  </si>
  <si>
    <t>R_23179</t>
  </si>
  <si>
    <t>R_23180</t>
  </si>
  <si>
    <t>R_23181</t>
  </si>
  <si>
    <t>R_23182</t>
  </si>
  <si>
    <t>R_23183</t>
  </si>
  <si>
    <t>R_23184</t>
  </si>
  <si>
    <t>R_23185</t>
  </si>
  <si>
    <t>R_23186</t>
  </si>
  <si>
    <t>R_23187</t>
  </si>
  <si>
    <t>R_23188</t>
  </si>
  <si>
    <t>R_23189</t>
  </si>
  <si>
    <t>R_23190</t>
  </si>
  <si>
    <t>R_23191</t>
  </si>
  <si>
    <t>R_23192</t>
  </si>
  <si>
    <t>R_23193</t>
  </si>
  <si>
    <t>R_23194</t>
  </si>
  <si>
    <t>R_23195</t>
  </si>
  <si>
    <t>R_23196</t>
  </si>
  <si>
    <t>R_23197</t>
  </si>
  <si>
    <t>R_23198</t>
  </si>
  <si>
    <t>R_23199</t>
  </si>
  <si>
    <t>R_23200</t>
  </si>
  <si>
    <t>R_23201</t>
  </si>
  <si>
    <t>R_23202</t>
  </si>
  <si>
    <t>R_23203</t>
  </si>
  <si>
    <t>R_23204</t>
  </si>
  <si>
    <t>R_23205</t>
  </si>
  <si>
    <t>R_23206</t>
  </si>
  <si>
    <t>R_23207</t>
  </si>
  <si>
    <t>R_23208</t>
  </si>
  <si>
    <t>R_23209</t>
  </si>
  <si>
    <t>R_23210</t>
  </si>
  <si>
    <t>R_23211</t>
  </si>
  <si>
    <t>R_23212</t>
  </si>
  <si>
    <t>R_23213</t>
  </si>
  <si>
    <t>R_23214</t>
  </si>
  <si>
    <t>R_23215</t>
  </si>
  <si>
    <t>R_23216</t>
  </si>
  <si>
    <t>R_23217</t>
  </si>
  <si>
    <t>R_23218</t>
  </si>
  <si>
    <t>R_23219</t>
  </si>
  <si>
    <t>R_23220</t>
  </si>
  <si>
    <t>R_23221</t>
  </si>
  <si>
    <t>R_23222</t>
  </si>
  <si>
    <t>R_23223</t>
  </si>
  <si>
    <t>R_23224</t>
  </si>
  <si>
    <t>R_23225</t>
  </si>
  <si>
    <t>R_23226</t>
  </si>
  <si>
    <t>R_23227</t>
  </si>
  <si>
    <t>R_23228</t>
  </si>
  <si>
    <t>R_23229</t>
  </si>
  <si>
    <t>R_23230</t>
  </si>
  <si>
    <t>R_23231</t>
  </si>
  <si>
    <t>R_23232</t>
  </si>
  <si>
    <t>R_23233</t>
  </si>
  <si>
    <t>R_23234</t>
  </si>
  <si>
    <t>R_23235</t>
  </si>
  <si>
    <t>R_23236</t>
  </si>
  <si>
    <t>R_23237</t>
  </si>
  <si>
    <t>R_23238</t>
  </si>
  <si>
    <t>R_23239</t>
  </si>
  <si>
    <t>R_23240</t>
  </si>
  <si>
    <t>R_23241</t>
  </si>
  <si>
    <t>R_23242</t>
  </si>
  <si>
    <t>R_23243</t>
  </si>
  <si>
    <t>R_23244</t>
  </si>
  <si>
    <t>R_23245</t>
  </si>
  <si>
    <t>R_23246</t>
  </si>
  <si>
    <t>R_23247</t>
  </si>
  <si>
    <t>R_23248</t>
  </si>
  <si>
    <t>R_23249</t>
  </si>
  <si>
    <t>R_23250</t>
  </si>
  <si>
    <t>R_23251</t>
  </si>
  <si>
    <t>R_23252</t>
  </si>
  <si>
    <t>R_23253</t>
  </si>
  <si>
    <t>R_23254</t>
  </si>
  <si>
    <t>R_23255</t>
  </si>
  <si>
    <t>R_23256</t>
  </si>
  <si>
    <t>R_23257</t>
  </si>
  <si>
    <t>R_23258</t>
  </si>
  <si>
    <t>R_23259</t>
  </si>
  <si>
    <t>R_23260</t>
  </si>
  <si>
    <t>R_23261</t>
  </si>
  <si>
    <t>R_23262</t>
  </si>
  <si>
    <t>R_23263</t>
  </si>
  <si>
    <t>R_23264</t>
  </si>
  <si>
    <t>R_23265</t>
  </si>
  <si>
    <t>R_23266</t>
  </si>
  <si>
    <t>R_23267</t>
  </si>
  <si>
    <t>R_23268</t>
  </si>
  <si>
    <t>R_23269</t>
  </si>
  <si>
    <t>R_23270</t>
  </si>
  <si>
    <t>R_23271</t>
  </si>
  <si>
    <t>R_23272</t>
  </si>
  <si>
    <t>R_23273</t>
  </si>
  <si>
    <t>R_23274</t>
  </si>
  <si>
    <t>R_23275</t>
  </si>
  <si>
    <t>R_23276</t>
  </si>
  <si>
    <t>R_23277</t>
  </si>
  <si>
    <t>R_23278</t>
  </si>
  <si>
    <t>R_23279</t>
  </si>
  <si>
    <t>R_23280</t>
  </si>
  <si>
    <t>R_23281</t>
  </si>
  <si>
    <t>R_23282</t>
  </si>
  <si>
    <t>R_23283</t>
  </si>
  <si>
    <t>R_23284</t>
  </si>
  <si>
    <t>R_23285</t>
  </si>
  <si>
    <t>R_23286</t>
  </si>
  <si>
    <t>R_23287</t>
  </si>
  <si>
    <t>R_23288</t>
  </si>
  <si>
    <t>R_23289</t>
  </si>
  <si>
    <t>R_23290</t>
  </si>
  <si>
    <t>R_23291</t>
  </si>
  <si>
    <t>R_23292</t>
  </si>
  <si>
    <t>R_23293</t>
  </si>
  <si>
    <t>R_23294</t>
  </si>
  <si>
    <t>R_23295</t>
  </si>
  <si>
    <t>R_23296</t>
  </si>
  <si>
    <t>R_23297</t>
  </si>
  <si>
    <t>R_23298</t>
  </si>
  <si>
    <t>R_23299</t>
  </si>
  <si>
    <t>R_23300</t>
  </si>
  <si>
    <t>R_23301</t>
  </si>
  <si>
    <t>R_23302</t>
  </si>
  <si>
    <t>R_23303</t>
  </si>
  <si>
    <t>R_23304</t>
  </si>
  <si>
    <t>R_23305</t>
  </si>
  <si>
    <t>R_23306</t>
  </si>
  <si>
    <t>R_23307</t>
  </si>
  <si>
    <t>R_23308</t>
  </si>
  <si>
    <t>R_23309</t>
  </si>
  <si>
    <t>R_23310</t>
  </si>
  <si>
    <t>R_23311</t>
  </si>
  <si>
    <t>R_23312</t>
  </si>
  <si>
    <t>R_23313</t>
  </si>
  <si>
    <t>R_23314</t>
  </si>
  <si>
    <t>R_23315</t>
  </si>
  <si>
    <t>R_23316</t>
  </si>
  <si>
    <t>R_23317</t>
  </si>
  <si>
    <t>R_23318</t>
  </si>
  <si>
    <t>R_23319</t>
  </si>
  <si>
    <t>R_23320</t>
  </si>
  <si>
    <t>R_23321</t>
  </si>
  <si>
    <t>R_23322</t>
  </si>
  <si>
    <t>R_23323</t>
  </si>
  <si>
    <t>R_23324</t>
  </si>
  <si>
    <t>R_23325</t>
  </si>
  <si>
    <t>R_23326</t>
  </si>
  <si>
    <t>R_23327</t>
  </si>
  <si>
    <t>R_23328</t>
  </si>
  <si>
    <t>R_23329</t>
  </si>
  <si>
    <t>R_23330</t>
  </si>
  <si>
    <t>R_23331</t>
  </si>
  <si>
    <t>R_23332</t>
  </si>
  <si>
    <t>R_23333</t>
  </si>
  <si>
    <t>R_23334</t>
  </si>
  <si>
    <t>R_23335</t>
  </si>
  <si>
    <t>R_23336</t>
  </si>
  <si>
    <t>R_23337</t>
  </si>
  <si>
    <t>R_23338</t>
  </si>
  <si>
    <t>R_23339</t>
  </si>
  <si>
    <t>R_23340</t>
  </si>
  <si>
    <t>R_23341</t>
  </si>
  <si>
    <t>R_23342</t>
  </si>
  <si>
    <t>R_23343</t>
  </si>
  <si>
    <t>R_23344</t>
  </si>
  <si>
    <t>R_23345</t>
  </si>
  <si>
    <t>R_23346</t>
  </si>
  <si>
    <t>R_23347</t>
  </si>
  <si>
    <t>R_23348</t>
  </si>
  <si>
    <t>R_23349</t>
  </si>
  <si>
    <t>R_23350</t>
  </si>
  <si>
    <t>R_23351</t>
  </si>
  <si>
    <t>R_23352</t>
  </si>
  <si>
    <t>R_23353</t>
  </si>
  <si>
    <t>R_23354</t>
  </si>
  <si>
    <t>R_23355</t>
  </si>
  <si>
    <t>R_23356</t>
  </si>
  <si>
    <t>R_23357</t>
  </si>
  <si>
    <t>R_23358</t>
  </si>
  <si>
    <t>R_23359</t>
  </si>
  <si>
    <t>R_23360</t>
  </si>
  <si>
    <t>R_23361</t>
  </si>
  <si>
    <t>R_23362</t>
  </si>
  <si>
    <t>R_23363</t>
  </si>
  <si>
    <t>R_23364</t>
  </si>
  <si>
    <t>R_23365</t>
  </si>
  <si>
    <t>R_23366</t>
  </si>
  <si>
    <t>R_23367</t>
  </si>
  <si>
    <t>R_23368</t>
  </si>
  <si>
    <t>R_23369</t>
  </si>
  <si>
    <t>R_23370</t>
  </si>
  <si>
    <t>R_23371</t>
  </si>
  <si>
    <t>R_23372</t>
  </si>
  <si>
    <t>R_23373</t>
  </si>
  <si>
    <t>R_23374</t>
  </si>
  <si>
    <t>R_23375</t>
  </si>
  <si>
    <t>R_23376</t>
  </si>
  <si>
    <t>R_23377</t>
  </si>
  <si>
    <t>R_23378</t>
  </si>
  <si>
    <t>R_23379</t>
  </si>
  <si>
    <t>R_23380</t>
  </si>
  <si>
    <t>R_23381</t>
  </si>
  <si>
    <t>R_23382</t>
  </si>
  <si>
    <t>R_23383</t>
  </si>
  <si>
    <t>R_23384</t>
  </si>
  <si>
    <t>R_23385</t>
  </si>
  <si>
    <t>R_23386</t>
  </si>
  <si>
    <t>R_23387</t>
  </si>
  <si>
    <t>R_23388</t>
  </si>
  <si>
    <t>R_23389</t>
  </si>
  <si>
    <t>R_23390</t>
  </si>
  <si>
    <t>R_23391</t>
  </si>
  <si>
    <t>R_23392</t>
  </si>
  <si>
    <t>R_23393</t>
  </si>
  <si>
    <t>R_23394</t>
  </si>
  <si>
    <t>R_23395</t>
  </si>
  <si>
    <t>R_23396</t>
  </si>
  <si>
    <t>R_23397</t>
  </si>
  <si>
    <t>R_23398</t>
  </si>
  <si>
    <t>R_23399</t>
  </si>
  <si>
    <t>R_23400</t>
  </si>
  <si>
    <t>R_23401</t>
  </si>
  <si>
    <t>R_23402</t>
  </si>
  <si>
    <t>R_23403</t>
  </si>
  <si>
    <t>R_23404</t>
  </si>
  <si>
    <t>R_23405</t>
  </si>
  <si>
    <t>R_23406</t>
  </si>
  <si>
    <t>R_23407</t>
  </si>
  <si>
    <t>R_23408</t>
  </si>
  <si>
    <t>R_23409</t>
  </si>
  <si>
    <t>R_23410</t>
  </si>
  <si>
    <t>R_23411</t>
  </si>
  <si>
    <t>R_23412</t>
  </si>
  <si>
    <t>R_23413</t>
  </si>
  <si>
    <t>R_23414</t>
  </si>
  <si>
    <t>R_23415</t>
  </si>
  <si>
    <t>R_23416</t>
  </si>
  <si>
    <t>R_23417</t>
  </si>
  <si>
    <t>R_23418</t>
  </si>
  <si>
    <t>R_23419</t>
  </si>
  <si>
    <t>R_23420</t>
  </si>
  <si>
    <t>R_23421</t>
  </si>
  <si>
    <t>R_23422</t>
  </si>
  <si>
    <t>R_23423</t>
  </si>
  <si>
    <t>R_23424</t>
  </si>
  <si>
    <t>R_23425</t>
  </si>
  <si>
    <t>R_23426</t>
  </si>
  <si>
    <t>R_23427</t>
  </si>
  <si>
    <t>R_23428</t>
  </si>
  <si>
    <t>R_23429</t>
  </si>
  <si>
    <t>R_23430</t>
  </si>
  <si>
    <t>R_23431</t>
  </si>
  <si>
    <t>R_23432</t>
  </si>
  <si>
    <t>R_23433</t>
  </si>
  <si>
    <t>R_23434</t>
  </si>
  <si>
    <t>R_23435</t>
  </si>
  <si>
    <t>R_23436</t>
  </si>
  <si>
    <t>R_23437</t>
  </si>
  <si>
    <t>R_23438</t>
  </si>
  <si>
    <t>R_23439</t>
  </si>
  <si>
    <t>R_23440</t>
  </si>
  <si>
    <t>R_23441</t>
  </si>
  <si>
    <t>R_23442</t>
  </si>
  <si>
    <t>R_23443</t>
  </si>
  <si>
    <t>R_23444</t>
  </si>
  <si>
    <t>R_23445</t>
  </si>
  <si>
    <t>R_23446</t>
  </si>
  <si>
    <t>R_23447</t>
  </si>
  <si>
    <t>R_23448</t>
  </si>
  <si>
    <t>R_23449</t>
  </si>
  <si>
    <t>R_23450</t>
  </si>
  <si>
    <t>R_23451</t>
  </si>
  <si>
    <t>R_23452</t>
  </si>
  <si>
    <t>R_23453</t>
  </si>
  <si>
    <t>R_23454</t>
  </si>
  <si>
    <t>R_23455</t>
  </si>
  <si>
    <t>R_23456</t>
  </si>
  <si>
    <t>R_23457</t>
  </si>
  <si>
    <t>R_23458</t>
  </si>
  <si>
    <t>R_23459</t>
  </si>
  <si>
    <t>R_23460</t>
  </si>
  <si>
    <t>R_23461</t>
  </si>
  <si>
    <t>R_23462</t>
  </si>
  <si>
    <t>R_23463</t>
  </si>
  <si>
    <t>R_23464</t>
  </si>
  <si>
    <t>R_23465</t>
  </si>
  <si>
    <t>R_23466</t>
  </si>
  <si>
    <t>R_23467</t>
  </si>
  <si>
    <t>R_23468</t>
  </si>
  <si>
    <t>R_23469</t>
  </si>
  <si>
    <t>R_23470</t>
  </si>
  <si>
    <t>R_23471</t>
  </si>
  <si>
    <t>R_23472</t>
  </si>
  <si>
    <t>R_23473</t>
  </si>
  <si>
    <t>R_23474</t>
  </si>
  <si>
    <t>R_23475</t>
  </si>
  <si>
    <t>R_23476</t>
  </si>
  <si>
    <t>R_23477</t>
  </si>
  <si>
    <t>R_23478</t>
  </si>
  <si>
    <t>R_23479</t>
  </si>
  <si>
    <t>R_23480</t>
  </si>
  <si>
    <t>R_23481</t>
  </si>
  <si>
    <t>R_23482</t>
  </si>
  <si>
    <t>R_23483</t>
  </si>
  <si>
    <t>R_23484</t>
  </si>
  <si>
    <t>R_23485</t>
  </si>
  <si>
    <t>R_23486</t>
  </si>
  <si>
    <t>R_23487</t>
  </si>
  <si>
    <t>R_23488</t>
  </si>
  <si>
    <t>R_23489</t>
  </si>
  <si>
    <t>R_23490</t>
  </si>
  <si>
    <t>R_23491</t>
  </si>
  <si>
    <t>R_23492</t>
  </si>
  <si>
    <t>R_23493</t>
  </si>
  <si>
    <t>R_23494</t>
  </si>
  <si>
    <t>R_23495</t>
  </si>
  <si>
    <t>R_23496</t>
  </si>
  <si>
    <t>R_23497</t>
  </si>
  <si>
    <t>R_23498</t>
  </si>
  <si>
    <t>R_23499</t>
  </si>
  <si>
    <t>R_23500</t>
  </si>
  <si>
    <t>R_23501</t>
  </si>
  <si>
    <t>R_23502</t>
  </si>
  <si>
    <t>R_23503</t>
  </si>
  <si>
    <t>R_23504</t>
  </si>
  <si>
    <t>R_23505</t>
  </si>
  <si>
    <t>R_23506</t>
  </si>
  <si>
    <t>Target Practice</t>
  </si>
  <si>
    <t>Calculate the date on which each sales person reached 500 leads. Also calculate avg. number of leads per day as of target reaching date</t>
  </si>
  <si>
    <t>Target</t>
  </si>
  <si>
    <t>Leads</t>
  </si>
  <si>
    <t>=FILTER(Leadtable[[Date]:[Leads]]),Leadtable[Name]=Q6)</t>
  </si>
  <si>
    <t>Sales Person</t>
  </si>
  <si>
    <t>Total leads</t>
  </si>
  <si>
    <t>Reached on</t>
  </si>
  <si>
    <t>Avg. per day</t>
  </si>
  <si>
    <t>Indicator</t>
  </si>
  <si>
    <t>Dynamic Array Spill</t>
  </si>
  <si>
    <t>Left-most character</t>
  </si>
  <si>
    <t>Salary Check</t>
  </si>
  <si>
    <t>LET</t>
  </si>
  <si>
    <t>Top 3 and bottom 3 emplyees</t>
  </si>
  <si>
    <t>Take+SORT</t>
  </si>
  <si>
    <t>Top 3</t>
  </si>
  <si>
    <t>Bottom 3</t>
  </si>
  <si>
    <t>Top &amp; Bottom</t>
  </si>
  <si>
    <t>LAMBDA</t>
  </si>
  <si>
    <t>Map</t>
  </si>
  <si>
    <t>Scan</t>
  </si>
  <si>
    <t>has memory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</si>
</sst>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9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7030A0"/>
      <name val="Aptos Narrow"/>
      <scheme val="minor"/>
    </font>
    <font>
      <sz val="11"/>
      <color rgb="FF7030A0"/>
      <name val="Aptos Narrow"/>
      <family val="2"/>
      <scheme val="minor"/>
    </font>
    <font>
      <b/>
      <sz val="11"/>
      <color rgb="FF000000"/>
      <name val="Aptos Narrow"/>
      <scheme val="minor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  <font>
      <b/>
      <sz val="11"/>
      <color rgb="FF0D0D0D"/>
      <name val="Aptos Narrow"/>
      <family val="2"/>
    </font>
    <font>
      <b/>
      <sz val="20"/>
      <color rgb="FF000000"/>
      <name val="Aptos Narrow"/>
      <scheme val="minor"/>
    </font>
    <font>
      <sz val="11"/>
      <color rgb="FF000000"/>
      <name val="Aptos Narrow"/>
    </font>
    <font>
      <sz val="11"/>
      <color rgb="FFFF0000"/>
      <name val="Aptos Narrow"/>
    </font>
    <font>
      <b/>
      <sz val="12"/>
      <color rgb="FF000000"/>
      <name val="Source Sans Pro"/>
      <family val="2"/>
    </font>
    <font>
      <sz val="20"/>
      <color rgb="FF0D0D0D"/>
      <name val="Aptos ExtraBold"/>
      <family val="2"/>
    </font>
    <font>
      <b/>
      <sz val="11"/>
      <color rgb="FFFFFFFF"/>
      <name val="Aptos Narrow"/>
      <family val="2"/>
    </font>
    <font>
      <b/>
      <sz val="11"/>
      <color rgb="FF000000"/>
      <name val="Aptos Narrow"/>
    </font>
    <font>
      <sz val="12"/>
      <color theme="1"/>
      <name val="Aptos Narrow"/>
      <family val="2"/>
      <scheme val="minor"/>
    </font>
    <font>
      <sz val="12"/>
      <color theme="1"/>
      <name val="Aptos Narrow"/>
      <family val="2"/>
    </font>
    <font>
      <sz val="20"/>
      <color rgb="FFFFFFFF"/>
      <name val="Aptos ExtraBold"/>
      <family val="2"/>
    </font>
  </fonts>
  <fills count="14">
    <fill>
      <patternFill patternType="none"/>
    </fill>
    <fill>
      <patternFill patternType="gray125"/>
    </fill>
    <fill>
      <patternFill patternType="solid">
        <fgColor rgb="FFFFC0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2F2F2"/>
        <bgColor rgb="FF000000"/>
      </patternFill>
    </fill>
    <fill>
      <patternFill patternType="solid">
        <fgColor rgb="FFF2F2F2"/>
        <bgColor rgb="FF5ECCF3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8021"/>
        <bgColor rgb="FFFF8021"/>
      </patternFill>
    </fill>
    <fill>
      <patternFill patternType="solid">
        <fgColor rgb="FFD9D9D9"/>
        <bgColor rgb="FFD9D9D9"/>
      </patternFill>
    </fill>
    <fill>
      <patternFill patternType="solid">
        <fgColor rgb="FF4E67C8"/>
        <bgColor rgb="FF000000"/>
      </patternFill>
    </fill>
    <fill>
      <patternFill patternType="solid">
        <fgColor rgb="FF4E67C8"/>
        <bgColor rgb="FF4E67C8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2" borderId="1" xfId="0" applyFont="1" applyFill="1" applyBorder="1" applyAlignment="1"/>
    <xf numFmtId="0" fontId="1" fillId="2" borderId="2" xfId="0" applyFont="1" applyFill="1" applyBorder="1" applyAlignment="1"/>
    <xf numFmtId="0" fontId="2" fillId="0" borderId="3" xfId="0" applyFont="1" applyFill="1" applyBorder="1" applyAlignment="1"/>
    <xf numFmtId="0" fontId="2" fillId="0" borderId="4" xfId="0" applyFont="1" applyFill="1" applyBorder="1" applyAlignment="1"/>
    <xf numFmtId="15" fontId="2" fillId="0" borderId="4" xfId="0" applyNumberFormat="1" applyFont="1" applyFill="1" applyBorder="1" applyAlignment="1"/>
    <xf numFmtId="0" fontId="0" fillId="3" borderId="0" xfId="0" applyFill="1"/>
    <xf numFmtId="0" fontId="3" fillId="0" borderId="0" xfId="0" applyFont="1"/>
    <xf numFmtId="0" fontId="5" fillId="0" borderId="0" xfId="0" applyFont="1"/>
    <xf numFmtId="0" fontId="0" fillId="0" borderId="0" xfId="0" applyAlignment="1">
      <alignment wrapText="1"/>
    </xf>
    <xf numFmtId="0" fontId="0" fillId="4" borderId="0" xfId="0" applyFill="1" applyAlignment="1">
      <alignment wrapText="1"/>
    </xf>
    <xf numFmtId="0" fontId="0" fillId="4" borderId="0" xfId="0" applyFill="1"/>
    <xf numFmtId="0" fontId="0" fillId="5" borderId="0" xfId="0" applyFill="1"/>
    <xf numFmtId="0" fontId="4" fillId="4" borderId="0" xfId="0" applyFont="1" applyFill="1"/>
    <xf numFmtId="0" fontId="3" fillId="5" borderId="0" xfId="0" applyFont="1" applyFill="1"/>
    <xf numFmtId="0" fontId="5" fillId="3" borderId="0" xfId="0" applyFont="1" applyFill="1"/>
    <xf numFmtId="0" fontId="2" fillId="0" borderId="5" xfId="0" applyFont="1" applyFill="1" applyBorder="1" applyAlignment="1"/>
    <xf numFmtId="0" fontId="1" fillId="2" borderId="4" xfId="0" applyFont="1" applyFill="1" applyBorder="1" applyAlignment="1"/>
    <xf numFmtId="0" fontId="1" fillId="2" borderId="5" xfId="0" applyFont="1" applyFill="1" applyBorder="1" applyAlignment="1"/>
    <xf numFmtId="0" fontId="2" fillId="0" borderId="6" xfId="0" applyFont="1" applyFill="1" applyBorder="1" applyAlignment="1"/>
    <xf numFmtId="15" fontId="2" fillId="0" borderId="6" xfId="0" applyNumberFormat="1" applyFont="1" applyFill="1" applyBorder="1" applyAlignment="1"/>
    <xf numFmtId="0" fontId="2" fillId="0" borderId="0" xfId="0" applyFont="1" applyFill="1" applyBorder="1" applyAlignment="1"/>
    <xf numFmtId="0" fontId="0" fillId="6" borderId="0" xfId="0" applyFill="1"/>
    <xf numFmtId="0" fontId="1" fillId="6" borderId="4" xfId="0" applyFont="1" applyFill="1" applyBorder="1" applyAlignment="1"/>
    <xf numFmtId="0" fontId="1" fillId="6" borderId="5" xfId="0" applyFont="1" applyFill="1" applyBorder="1" applyAlignment="1"/>
    <xf numFmtId="0" fontId="6" fillId="0" borderId="0" xfId="0" applyFont="1" applyFill="1" applyBorder="1" applyAlignment="1"/>
    <xf numFmtId="0" fontId="6" fillId="7" borderId="1" xfId="0" applyFont="1" applyFill="1" applyBorder="1" applyAlignment="1"/>
    <xf numFmtId="0" fontId="7" fillId="0" borderId="0" xfId="0" applyFont="1" applyFill="1" applyBorder="1" applyAlignment="1"/>
    <xf numFmtId="0" fontId="8" fillId="8" borderId="7" xfId="0" applyFont="1" applyFill="1" applyBorder="1" applyAlignment="1"/>
    <xf numFmtId="0" fontId="9" fillId="6" borderId="0" xfId="0" applyFont="1" applyFill="1"/>
    <xf numFmtId="0" fontId="10" fillId="0" borderId="0" xfId="0" applyFont="1" applyFill="1" applyBorder="1" applyAlignment="1"/>
    <xf numFmtId="0" fontId="12" fillId="0" borderId="0" xfId="0" applyFont="1" applyFill="1" applyBorder="1" applyAlignment="1"/>
    <xf numFmtId="15" fontId="6" fillId="0" borderId="0" xfId="0" applyNumberFormat="1" applyFont="1" applyFill="1" applyBorder="1" applyAlignment="1"/>
    <xf numFmtId="0" fontId="6" fillId="0" borderId="0" xfId="0" applyFont="1" applyFill="1" applyAlignment="1"/>
    <xf numFmtId="0" fontId="6" fillId="0" borderId="0" xfId="0" applyFont="1" applyFill="1" applyBorder="1" applyAlignment="1">
      <alignment wrapText="1"/>
    </xf>
    <xf numFmtId="0" fontId="6" fillId="9" borderId="0" xfId="0" applyFont="1" applyFill="1" applyBorder="1" applyAlignment="1"/>
    <xf numFmtId="0" fontId="13" fillId="9" borderId="0" xfId="0" applyFont="1" applyFill="1" applyBorder="1" applyAlignment="1">
      <alignment wrapText="1"/>
    </xf>
    <xf numFmtId="0" fontId="13" fillId="9" borderId="0" xfId="0" applyFont="1" applyFill="1" applyAlignment="1"/>
    <xf numFmtId="0" fontId="0" fillId="9" borderId="0" xfId="0" applyFill="1"/>
    <xf numFmtId="0" fontId="6" fillId="11" borderId="0" xfId="0" applyFont="1" applyFill="1" applyBorder="1" applyAlignment="1"/>
    <xf numFmtId="15" fontId="6" fillId="11" borderId="0" xfId="0" applyNumberFormat="1" applyFont="1" applyFill="1" applyBorder="1" applyAlignment="1"/>
    <xf numFmtId="4" fontId="6" fillId="0" borderId="0" xfId="0" applyNumberFormat="1" applyFont="1" applyFill="1" applyBorder="1" applyAlignment="1"/>
    <xf numFmtId="4" fontId="6" fillId="11" borderId="0" xfId="0" applyNumberFormat="1" applyFont="1" applyFill="1" applyBorder="1" applyAlignment="1"/>
    <xf numFmtId="0" fontId="15" fillId="0" borderId="0" xfId="0" applyFont="1" applyFill="1" applyBorder="1" applyAlignment="1">
      <alignment wrapText="1"/>
    </xf>
    <xf numFmtId="0" fontId="16" fillId="0" borderId="0" xfId="0" applyFont="1"/>
    <xf numFmtId="0" fontId="17" fillId="10" borderId="8" xfId="0" applyFont="1" applyFill="1" applyBorder="1" applyAlignment="1"/>
    <xf numFmtId="0" fontId="7" fillId="0" borderId="9" xfId="0" applyFont="1" applyFill="1" applyBorder="1" applyAlignment="1"/>
    <xf numFmtId="15" fontId="6" fillId="0" borderId="9" xfId="0" applyNumberFormat="1" applyFont="1" applyFill="1" applyBorder="1" applyAlignment="1"/>
    <xf numFmtId="0" fontId="6" fillId="0" borderId="9" xfId="0" applyFont="1" applyFill="1" applyBorder="1" applyAlignment="1"/>
    <xf numFmtId="0" fontId="6" fillId="12" borderId="0" xfId="0" applyFont="1" applyFill="1" applyBorder="1" applyAlignment="1"/>
    <xf numFmtId="0" fontId="18" fillId="12" borderId="0" xfId="0" applyFont="1" applyFill="1" applyAlignment="1"/>
    <xf numFmtId="0" fontId="7" fillId="0" borderId="0" xfId="0" applyFont="1" applyFill="1" applyAlignment="1"/>
    <xf numFmtId="0" fontId="6" fillId="7" borderId="2" xfId="0" applyFont="1" applyFill="1" applyBorder="1" applyAlignment="1"/>
    <xf numFmtId="0" fontId="18" fillId="12" borderId="0" xfId="0" applyFont="1" applyFill="1" applyBorder="1" applyAlignment="1">
      <alignment wrapText="1"/>
    </xf>
    <xf numFmtId="0" fontId="7" fillId="0" borderId="0" xfId="0" applyFont="1" applyFill="1" applyBorder="1" applyAlignment="1">
      <alignment wrapText="1"/>
    </xf>
    <xf numFmtId="0" fontId="7" fillId="0" borderId="10" xfId="0" applyFont="1" applyFill="1" applyBorder="1" applyAlignment="1">
      <alignment wrapText="1"/>
    </xf>
    <xf numFmtId="0" fontId="7" fillId="7" borderId="11" xfId="0" applyFont="1" applyFill="1" applyBorder="1" applyAlignment="1"/>
    <xf numFmtId="0" fontId="6" fillId="0" borderId="12" xfId="0" applyFont="1" applyFill="1" applyBorder="1" applyAlignment="1"/>
    <xf numFmtId="0" fontId="14" fillId="13" borderId="8" xfId="0" applyFont="1" applyFill="1" applyBorder="1" applyAlignment="1"/>
    <xf numFmtId="0" fontId="6" fillId="0" borderId="12" xfId="0" applyFont="1" applyFill="1" applyBorder="1" applyAlignment="1">
      <alignment wrapText="1"/>
    </xf>
    <xf numFmtId="164" fontId="6" fillId="0" borderId="12" xfId="0" applyNumberFormat="1" applyFont="1" applyFill="1" applyBorder="1" applyAlignment="1">
      <alignment wrapText="1"/>
    </xf>
  </cellXfs>
  <cellStyles count="1">
    <cellStyle name="Normal" xfId="0" builtinId="0"/>
  </cellStyles>
  <dxfs count="3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20" formatCode="dd\-mmm\-yy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none"/>
      </font>
      <fill>
        <patternFill patternType="solid">
          <fgColor rgb="FF4E67C8"/>
          <bgColor rgb="FF4E67C8"/>
        </patternFill>
      </fill>
      <alignment horizontal="general" vertical="bottom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20" formatCode="dd\-mmm\-yy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fill>
        <patternFill patternType="solid">
          <fgColor rgb="FFFF8021"/>
          <bgColor rgb="FFFF802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20" formatCode="dd\-mmm\-yy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000000"/>
          <bgColor rgb="FFFFC000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E87A4FB-2D29-4655-91C6-88B276A62301}" name="Staff" displayName="Staff" ref="K3:R38" totalsRowShown="0" headerRowDxfId="29" dataDxfId="28" headerRowBorderDxfId="26" tableBorderDxfId="27">
  <autoFilter ref="K3:R38" xr:uid="{5E87A4FB-2D29-4655-91C6-88B276A62301}"/>
  <tableColumns count="8">
    <tableColumn id="1" xr3:uid="{68AEFB27-CE87-4DDF-889E-DFF18BCE5A92}" name="Name" dataDxfId="25"/>
    <tableColumn id="2" xr3:uid="{F9E2A05D-138E-424B-85F3-D57962A1C2A3}" name="Emp ID" dataDxfId="24"/>
    <tableColumn id="3" xr3:uid="{66A1F5EE-10E5-4016-A8F3-B06A50EDC20F}" name="Gender" dataDxfId="23"/>
    <tableColumn id="4" xr3:uid="{FFA8E470-86E3-47BA-B09C-AA1C6339F405}" name="Education Qualification" dataDxfId="22"/>
    <tableColumn id="5" xr3:uid="{89D4E062-DCFC-41CE-B77F-DF7F8656146C}" name="Date of Join" dataDxfId="21"/>
    <tableColumn id="6" xr3:uid="{B4F5CD91-99AD-4D65-92CC-F8A55E25A1C8}" name="Job Title" dataDxfId="20"/>
    <tableColumn id="7" xr3:uid="{6A55593A-FB22-4CE5-9C53-C718119DD326}" name="Salary" dataDxfId="19"/>
    <tableColumn id="8" xr3:uid="{9B6BC8AD-7865-4360-BE4F-704B3393C2B1}" name="Age" dataDxfId="18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EDC647F-C96B-415E-B74A-8C0E5896494A}" name="Table1" displayName="Table1" ref="B5:G505" totalsRowShown="0" headerRowDxfId="17" dataDxfId="16" headerRowBorderDxfId="14" tableBorderDxfId="15">
  <autoFilter ref="B5:G505" xr:uid="{EEDC647F-C96B-415E-B74A-8C0E5896494A}"/>
  <tableColumns count="6">
    <tableColumn id="1" xr3:uid="{93534F07-11F7-44CF-9D04-86C8BC38E15B}" name="Receipt_Id" dataDxfId="13"/>
    <tableColumn id="2" xr3:uid="{57F64534-1E2B-44B8-978F-575F024D0F97}" name="Date" dataDxfId="12"/>
    <tableColumn id="3" xr3:uid="{CDA1A795-54B1-4448-AB67-04364F4C3A69}" name="Amount" dataDxfId="11"/>
    <tableColumn id="4" xr3:uid="{FAA970FB-AF87-452D-9588-67B791D4454A}" name="Currency" dataDxfId="10"/>
    <tableColumn id="5" xr3:uid="{6FB74ED6-9A8A-453E-ABC3-2A86F877A2B3}" name="Exchange rate" dataDxfId="9">
      <calculatedColumnFormula array="1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calculatedColumnFormula>
    </tableColumn>
    <tableColumn id="6" xr3:uid="{52252880-8653-4452-AA4A-0F6F6947E974}" name="Amount in NZD" dataDxfId="8">
      <calculatedColumnFormula>ROUNDUP(Table1[[#This Row],[Amount]]/Table1[[#This Row],[Exchange rate]],2)</calculatedColumnFormula>
    </tableColumn>
  </tableColumns>
  <tableStyleInfo name="TableStyleMedium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8FE61F5-DB3A-4ABE-A566-9CE791532E1A}" name="Leadtable" displayName="Leadtable" ref="J5:L2005" totalsRowShown="0" headerRowDxfId="5" headerRowBorderDxfId="3" tableBorderDxfId="4">
  <autoFilter ref="J5:L2005" xr:uid="{E8FE61F5-DB3A-4ABE-A566-9CE791532E1A}"/>
  <tableColumns count="3">
    <tableColumn id="1" xr3:uid="{18D4DD85-AC01-4456-8537-C3C731590CD6}" name="Name" dataDxfId="2"/>
    <tableColumn id="2" xr3:uid="{86A52CF8-F5BF-4B43-8369-9056B28B27BC}" name="Date" dataDxfId="1"/>
    <tableColumn id="3" xr3:uid="{390A865D-2CB8-466A-A816-FC1056725999}" name="Leads" dataDxfId="0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F25B1-874D-4B52-85F8-31311C5157F3}">
  <dimension ref="B1:T47"/>
  <sheetViews>
    <sheetView workbookViewId="0">
      <selection activeCell="E6" sqref="E6"/>
    </sheetView>
  </sheetViews>
  <sheetFormatPr defaultRowHeight="15"/>
  <cols>
    <col min="1" max="1" width="5.7109375" customWidth="1"/>
    <col min="2" max="2" width="36.5703125" bestFit="1" customWidth="1"/>
    <col min="5" max="5" width="22.5703125" bestFit="1" customWidth="1"/>
    <col min="6" max="6" width="11" bestFit="1" customWidth="1"/>
    <col min="10" max="10" width="4.5703125" customWidth="1"/>
    <col min="11" max="11" width="19.85546875" bestFit="1" customWidth="1"/>
    <col min="12" max="12" width="9.42578125" bestFit="1" customWidth="1"/>
    <col min="13" max="13" width="9.42578125" customWidth="1"/>
    <col min="14" max="14" width="21.140625" customWidth="1"/>
    <col min="15" max="15" width="13.7109375" bestFit="1" customWidth="1"/>
    <col min="16" max="16" width="19" bestFit="1" customWidth="1"/>
    <col min="19" max="19" width="11.140625" bestFit="1" customWidth="1"/>
    <col min="20" max="20" width="21.5703125" bestFit="1" customWidth="1"/>
  </cols>
  <sheetData>
    <row r="1" spans="2:20" s="22" customFormat="1" ht="33" customHeight="1">
      <c r="B1" s="29" t="s">
        <v>0</v>
      </c>
      <c r="K1" s="23"/>
      <c r="L1" s="23"/>
      <c r="M1" s="23"/>
      <c r="N1" s="23"/>
      <c r="O1" s="23"/>
      <c r="P1" s="23"/>
      <c r="Q1" s="23"/>
      <c r="R1" s="24"/>
    </row>
    <row r="2" spans="2:20">
      <c r="K2" s="4"/>
      <c r="L2" s="4"/>
      <c r="M2" s="4"/>
      <c r="N2" s="4"/>
      <c r="O2" s="5"/>
      <c r="P2" s="4"/>
      <c r="Q2" s="4"/>
      <c r="R2" s="16"/>
    </row>
    <row r="3" spans="2:20">
      <c r="K3" s="17" t="s">
        <v>1</v>
      </c>
      <c r="L3" s="17" t="s">
        <v>2</v>
      </c>
      <c r="M3" s="17" t="s">
        <v>3</v>
      </c>
      <c r="N3" s="17" t="s">
        <v>4</v>
      </c>
      <c r="O3" s="17" t="s">
        <v>5</v>
      </c>
      <c r="P3" s="17" t="s">
        <v>6</v>
      </c>
      <c r="Q3" s="17" t="s">
        <v>7</v>
      </c>
      <c r="R3" s="18" t="s">
        <v>8</v>
      </c>
    </row>
    <row r="4" spans="2:20">
      <c r="B4" s="30" t="s">
        <v>9</v>
      </c>
      <c r="C4" s="25"/>
      <c r="D4" s="25"/>
      <c r="E4" s="30" t="s">
        <v>10</v>
      </c>
      <c r="F4" s="25"/>
      <c r="G4" s="25"/>
      <c r="H4" s="25"/>
      <c r="I4" s="25"/>
      <c r="K4" s="4" t="s">
        <v>11</v>
      </c>
      <c r="L4" s="4" t="s">
        <v>12</v>
      </c>
      <c r="M4" s="4" t="s">
        <v>13</v>
      </c>
      <c r="N4" s="4" t="s">
        <v>14</v>
      </c>
      <c r="O4" s="5">
        <v>44724</v>
      </c>
      <c r="P4" s="4" t="s">
        <v>15</v>
      </c>
      <c r="Q4" s="4">
        <v>51300</v>
      </c>
      <c r="R4" s="16">
        <v>26</v>
      </c>
      <c r="T4" t="str" cm="1">
        <f t="array" ref="T4:T38">_xlfn.BYROW(Staff[],_xleta.CONCAT)</f>
        <v>Barank ObamaAC0001MaleBachelor's Degree44724Chocolatier5130026</v>
      </c>
    </row>
    <row r="5" spans="2:20">
      <c r="B5" s="26" t="s">
        <v>16</v>
      </c>
      <c r="C5" s="25"/>
      <c r="D5" s="25"/>
      <c r="E5" s="26" t="s">
        <v>17</v>
      </c>
      <c r="F5" s="25"/>
      <c r="G5" s="25"/>
      <c r="H5" s="25"/>
      <c r="I5" s="25"/>
      <c r="K5" s="4" t="s">
        <v>18</v>
      </c>
      <c r="L5" s="4" t="s">
        <v>19</v>
      </c>
      <c r="M5" s="4" t="s">
        <v>20</v>
      </c>
      <c r="N5" s="4" t="s">
        <v>21</v>
      </c>
      <c r="O5" s="5">
        <v>44975</v>
      </c>
      <c r="P5" s="4" t="s">
        <v>22</v>
      </c>
      <c r="Q5" s="4">
        <v>38300</v>
      </c>
      <c r="R5" s="16">
        <v>33</v>
      </c>
      <c r="T5" t="str">
        <v>Large BushAC0002FemaleDiploma44975Production Operator3830033</v>
      </c>
    </row>
    <row r="6" spans="2:20">
      <c r="B6" s="25"/>
      <c r="C6" s="25"/>
      <c r="D6" s="25"/>
      <c r="E6" s="25"/>
      <c r="F6" s="25"/>
      <c r="G6" s="25"/>
      <c r="H6" s="25"/>
      <c r="I6" s="25"/>
      <c r="K6" s="4" t="s">
        <v>23</v>
      </c>
      <c r="L6" s="4" t="s">
        <v>24</v>
      </c>
      <c r="M6" s="4" t="s">
        <v>13</v>
      </c>
      <c r="N6" s="4" t="s">
        <v>25</v>
      </c>
      <c r="O6" s="5">
        <v>45540</v>
      </c>
      <c r="P6" s="4" t="s">
        <v>26</v>
      </c>
      <c r="Q6" s="4">
        <v>31400</v>
      </c>
      <c r="R6" s="16">
        <v>34</v>
      </c>
      <c r="T6" t="str">
        <v>Fill ClintonAC0003MaleHigh School Diploma45540Packaging Associate3140034</v>
      </c>
    </row>
    <row r="7" spans="2:20">
      <c r="B7" s="27" t="s">
        <v>27</v>
      </c>
      <c r="C7" s="25"/>
      <c r="D7" s="25"/>
      <c r="E7" s="25"/>
      <c r="F7" s="25"/>
      <c r="G7" s="25"/>
      <c r="H7" s="25"/>
      <c r="I7" s="25"/>
      <c r="K7" s="4" t="s">
        <v>28</v>
      </c>
      <c r="L7" s="4" t="s">
        <v>29</v>
      </c>
      <c r="M7" s="4" t="s">
        <v>13</v>
      </c>
      <c r="N7" s="4" t="s">
        <v>14</v>
      </c>
      <c r="O7" s="5">
        <v>44520</v>
      </c>
      <c r="P7" s="4" t="s">
        <v>30</v>
      </c>
      <c r="Q7" s="4">
        <v>60700</v>
      </c>
      <c r="R7" s="16">
        <v>30</v>
      </c>
      <c r="T7" t="str">
        <v>Donald RoundupAC0004MaleBachelor's Degree44520Marketing Specialist6070030</v>
      </c>
    </row>
    <row r="8" spans="2:20">
      <c r="B8" s="25"/>
      <c r="C8" s="25"/>
      <c r="D8" s="25"/>
      <c r="E8" s="25"/>
      <c r="F8" s="25"/>
      <c r="G8" s="25"/>
      <c r="H8" s="25"/>
      <c r="I8" s="25"/>
      <c r="K8" s="4" t="s">
        <v>31</v>
      </c>
      <c r="L8" s="4" t="s">
        <v>32</v>
      </c>
      <c r="M8" s="4" t="s">
        <v>20</v>
      </c>
      <c r="N8" s="4" t="s">
        <v>33</v>
      </c>
      <c r="O8" s="5">
        <v>43929</v>
      </c>
      <c r="P8" s="4" t="s">
        <v>34</v>
      </c>
      <c r="Q8" s="4">
        <v>77300</v>
      </c>
      <c r="R8" s="16">
        <v>30</v>
      </c>
      <c r="T8" t="str">
        <v>Now BidenAC0005FemaleMaster's Degree43929Research Scientist7730030</v>
      </c>
    </row>
    <row r="9" spans="2:20">
      <c r="B9" s="28" t="s">
        <v>1</v>
      </c>
      <c r="C9" s="28" t="s">
        <v>2</v>
      </c>
      <c r="D9" s="28" t="s">
        <v>3</v>
      </c>
      <c r="E9" s="28" t="s">
        <v>4</v>
      </c>
      <c r="F9" s="28" t="s">
        <v>5</v>
      </c>
      <c r="G9" s="28" t="s">
        <v>6</v>
      </c>
      <c r="H9" s="28" t="s">
        <v>7</v>
      </c>
      <c r="I9" s="28" t="s">
        <v>8</v>
      </c>
      <c r="K9" s="4" t="s">
        <v>35</v>
      </c>
      <c r="L9" s="4" t="s">
        <v>36</v>
      </c>
      <c r="M9" s="4" t="s">
        <v>20</v>
      </c>
      <c r="N9" s="4" t="s">
        <v>14</v>
      </c>
      <c r="O9" s="5">
        <v>45730</v>
      </c>
      <c r="P9" s="4" t="s">
        <v>37</v>
      </c>
      <c r="Q9" s="4">
        <v>49800</v>
      </c>
      <c r="R9" s="16">
        <v>38</v>
      </c>
      <c r="T9" t="str">
        <v>ROWland ReaganAC0006FemaleBachelor's Degree45730Sales Representative4980038</v>
      </c>
    </row>
    <row r="10" spans="2:20">
      <c r="B10" s="9" t="str" cm="1">
        <f t="array" ref="B10:I10">_xlfn._xlws.FILTER(Staff[],ISNUMBER(SEARCH(B5,Staff[Name])))</f>
        <v>Large Bush</v>
      </c>
      <c r="C10" t="str">
        <v>AC0002</v>
      </c>
      <c r="D10" t="str">
        <v>Female</v>
      </c>
      <c r="E10" t="str">
        <v>Diploma</v>
      </c>
      <c r="F10">
        <v>44975</v>
      </c>
      <c r="G10" t="str">
        <v>Production Operator</v>
      </c>
      <c r="H10">
        <v>38300</v>
      </c>
      <c r="I10">
        <v>33</v>
      </c>
      <c r="K10" s="4" t="s">
        <v>38</v>
      </c>
      <c r="L10" s="4" t="s">
        <v>39</v>
      </c>
      <c r="M10" s="4" t="s">
        <v>13</v>
      </c>
      <c r="N10" s="4" t="s">
        <v>25</v>
      </c>
      <c r="O10" s="5">
        <v>45293</v>
      </c>
      <c r="P10" s="4" t="s">
        <v>22</v>
      </c>
      <c r="Q10" s="4">
        <v>33000</v>
      </c>
      <c r="R10" s="16">
        <v>32</v>
      </c>
      <c r="T10" t="str">
        <v>Jimmy CharterAC0007MaleHigh School Diploma45293Production Operator3300032</v>
      </c>
    </row>
    <row r="11" spans="2:20">
      <c r="K11" s="4" t="s">
        <v>40</v>
      </c>
      <c r="L11" s="4" t="s">
        <v>41</v>
      </c>
      <c r="M11" s="4" t="s">
        <v>20</v>
      </c>
      <c r="N11" s="4" t="s">
        <v>21</v>
      </c>
      <c r="O11" s="5">
        <v>44761</v>
      </c>
      <c r="P11" s="4" t="s">
        <v>42</v>
      </c>
      <c r="Q11" s="4">
        <v>41900</v>
      </c>
      <c r="R11" s="16">
        <v>36</v>
      </c>
      <c r="T11" t="str">
        <v>Gerald FindAC0008FemaleDiploma44761Quality Control4190036</v>
      </c>
    </row>
    <row r="12" spans="2:20">
      <c r="K12" s="4" t="s">
        <v>43</v>
      </c>
      <c r="L12" s="4" t="s">
        <v>44</v>
      </c>
      <c r="M12" s="4" t="s">
        <v>13</v>
      </c>
      <c r="N12" s="4" t="s">
        <v>14</v>
      </c>
      <c r="O12" s="5">
        <v>45240</v>
      </c>
      <c r="P12" s="4" t="s">
        <v>45</v>
      </c>
      <c r="Q12" s="4">
        <v>58100</v>
      </c>
      <c r="R12" s="16">
        <v>31</v>
      </c>
      <c r="T12" t="str">
        <v>Richard FunctionAC0009MaleBachelor's Degree45240Research Analyst5810031</v>
      </c>
    </row>
    <row r="13" spans="2:20">
      <c r="K13" s="4" t="s">
        <v>46</v>
      </c>
      <c r="L13" s="4" t="s">
        <v>47</v>
      </c>
      <c r="M13" s="4" t="s">
        <v>13</v>
      </c>
      <c r="N13" s="4" t="s">
        <v>33</v>
      </c>
      <c r="O13" s="5">
        <v>44372</v>
      </c>
      <c r="P13" s="4" t="s">
        <v>48</v>
      </c>
      <c r="Q13" s="4">
        <v>82900</v>
      </c>
      <c r="R13" s="16">
        <v>31</v>
      </c>
      <c r="T13" t="str">
        <v>Abraham LinColumnAC0010MaleMaster's Degree44372Product Manager8290031</v>
      </c>
    </row>
    <row r="14" spans="2:20">
      <c r="K14" s="4" t="s">
        <v>49</v>
      </c>
      <c r="L14" s="4" t="s">
        <v>50</v>
      </c>
      <c r="M14" s="4" t="s">
        <v>13</v>
      </c>
      <c r="N14" s="4" t="s">
        <v>25</v>
      </c>
      <c r="O14" s="5">
        <v>45508</v>
      </c>
      <c r="P14" s="4" t="s">
        <v>26</v>
      </c>
      <c r="Q14" s="4">
        <v>28900</v>
      </c>
      <c r="R14" s="16">
        <v>30</v>
      </c>
      <c r="T14" t="str">
        <v>Harry S TRUEmanAC0011MaleHigh School Diploma45508Packaging Associate2890030</v>
      </c>
    </row>
    <row r="15" spans="2:20">
      <c r="K15" s="4" t="s">
        <v>51</v>
      </c>
      <c r="L15" s="4" t="s">
        <v>52</v>
      </c>
      <c r="M15" s="4" t="s">
        <v>13</v>
      </c>
      <c r="N15" s="4" t="s">
        <v>21</v>
      </c>
      <c r="O15" s="5">
        <v>44609</v>
      </c>
      <c r="P15" s="4" t="s">
        <v>22</v>
      </c>
      <c r="Q15" s="4">
        <v>37300</v>
      </c>
      <c r="R15" s="16">
        <v>35</v>
      </c>
      <c r="T15" t="str">
        <v>John IF KennedyAC0012MaleDiploma44609Production Operator3730035</v>
      </c>
    </row>
    <row r="16" spans="2:20">
      <c r="K16" s="4" t="s">
        <v>53</v>
      </c>
      <c r="L16" s="4" t="s">
        <v>54</v>
      </c>
      <c r="M16" s="4" t="s">
        <v>13</v>
      </c>
      <c r="N16" s="4" t="s">
        <v>14</v>
      </c>
      <c r="O16" s="5">
        <v>45229</v>
      </c>
      <c r="P16" s="4" t="s">
        <v>15</v>
      </c>
      <c r="Q16" s="4">
        <v>52700</v>
      </c>
      <c r="R16" s="16">
        <v>29</v>
      </c>
      <c r="T16" t="str">
        <v>Wood ROW WilsonAC0013MaleBachelor's Degree45229Chocolatier5270029</v>
      </c>
    </row>
    <row r="17" spans="11:20">
      <c r="K17" s="4" t="s">
        <v>55</v>
      </c>
      <c r="L17" s="4" t="s">
        <v>56</v>
      </c>
      <c r="M17" s="4" t="s">
        <v>20</v>
      </c>
      <c r="N17" s="4" t="s">
        <v>33</v>
      </c>
      <c r="O17" s="5">
        <v>44086</v>
      </c>
      <c r="P17" s="4" t="s">
        <v>57</v>
      </c>
      <c r="Q17" s="4">
        <v>74700</v>
      </c>
      <c r="R17" s="16">
        <v>52</v>
      </c>
      <c r="T17" t="str">
        <v>Franklin D ChooseveltAC0014FemaleMaster's Degree44086Marketing Manager7470052</v>
      </c>
    </row>
    <row r="18" spans="11:20">
      <c r="K18" s="4" t="s">
        <v>58</v>
      </c>
      <c r="L18" s="4" t="s">
        <v>59</v>
      </c>
      <c r="M18" s="4" t="s">
        <v>13</v>
      </c>
      <c r="N18" s="4" t="s">
        <v>60</v>
      </c>
      <c r="O18" s="5">
        <v>44260</v>
      </c>
      <c r="P18" s="4" t="s">
        <v>45</v>
      </c>
      <c r="Q18" s="4">
        <v>55600</v>
      </c>
      <c r="R18" s="16">
        <v>35</v>
      </c>
      <c r="T18" t="str">
        <v>Ulysses S. GrandTotalAC0015MaleBachelor44260Research Analyst5560035</v>
      </c>
    </row>
    <row r="19" spans="11:20">
      <c r="K19" s="4" t="s">
        <v>61</v>
      </c>
      <c r="L19" s="4" t="s">
        <v>62</v>
      </c>
      <c r="M19" s="4" t="s">
        <v>13</v>
      </c>
      <c r="N19" s="4" t="s">
        <v>25</v>
      </c>
      <c r="O19" s="5">
        <v>45433</v>
      </c>
      <c r="P19" s="4" t="s">
        <v>26</v>
      </c>
      <c r="Q19" s="4">
        <v>32900</v>
      </c>
      <c r="R19" s="16">
        <v>30</v>
      </c>
      <c r="T19" t="str">
        <v>Dwight D. EisenLowerAC0016MaleHigh School Diploma45433Packaging Associate3290030</v>
      </c>
    </row>
    <row r="20" spans="11:20">
      <c r="K20" s="4" t="s">
        <v>63</v>
      </c>
      <c r="L20" s="4" t="s">
        <v>64</v>
      </c>
      <c r="M20" s="4" t="s">
        <v>20</v>
      </c>
      <c r="N20" s="4" t="s">
        <v>21</v>
      </c>
      <c r="O20" s="5">
        <v>45146</v>
      </c>
      <c r="P20" s="4" t="s">
        <v>42</v>
      </c>
      <c r="Q20" s="4">
        <v>41500</v>
      </c>
      <c r="R20" s="16">
        <v>32</v>
      </c>
      <c r="T20" t="str">
        <v>Exact HooverAC0017FemaleDiploma45146Quality Control4150032</v>
      </c>
    </row>
    <row r="21" spans="11:20">
      <c r="K21" s="4" t="s">
        <v>65</v>
      </c>
      <c r="L21" s="4" t="s">
        <v>66</v>
      </c>
      <c r="M21" s="4" t="s">
        <v>13</v>
      </c>
      <c r="N21" s="4" t="s">
        <v>60</v>
      </c>
      <c r="O21" s="5">
        <v>44888</v>
      </c>
      <c r="P21" s="4" t="s">
        <v>37</v>
      </c>
      <c r="Q21" s="4">
        <v>49400</v>
      </c>
      <c r="R21" s="16">
        <v>31</v>
      </c>
      <c r="T21" t="str">
        <v>Amitabh FUNCTIONAC0018MaleBachelor44888Sales Representative4940031</v>
      </c>
    </row>
    <row r="22" spans="11:20">
      <c r="K22" s="4" t="s">
        <v>67</v>
      </c>
      <c r="L22" s="4" t="s">
        <v>68</v>
      </c>
      <c r="M22" s="4" t="s">
        <v>13</v>
      </c>
      <c r="N22" s="4" t="s">
        <v>69</v>
      </c>
      <c r="O22" s="5">
        <v>43661</v>
      </c>
      <c r="P22" s="4" t="s">
        <v>48</v>
      </c>
      <c r="Q22" s="4">
        <v>82700</v>
      </c>
      <c r="R22" s="16">
        <v>34</v>
      </c>
      <c r="T22" t="str">
        <v>Shahrukh SCANAC0019MaleMaster43661Product Manager8270034</v>
      </c>
    </row>
    <row r="23" spans="11:20">
      <c r="K23" s="4" t="s">
        <v>70</v>
      </c>
      <c r="L23" s="4" t="s">
        <v>71</v>
      </c>
      <c r="M23" s="4" t="s">
        <v>20</v>
      </c>
      <c r="N23" s="4" t="s">
        <v>25</v>
      </c>
      <c r="O23" s="5">
        <v>45381</v>
      </c>
      <c r="P23" s="4" t="s">
        <v>22</v>
      </c>
      <c r="Q23" s="4">
        <v>38200</v>
      </c>
      <c r="R23" s="16">
        <v>31</v>
      </c>
      <c r="T23" t="str">
        <v>Aishwarya ROWAC0020FemaleHigh School Diploma45381Production Operator3820031</v>
      </c>
    </row>
    <row r="24" spans="11:20">
      <c r="K24" s="4" t="s">
        <v>72</v>
      </c>
      <c r="L24" s="4" t="s">
        <v>73</v>
      </c>
      <c r="M24" s="4" t="s">
        <v>13</v>
      </c>
      <c r="N24" s="4" t="s">
        <v>21</v>
      </c>
      <c r="O24" s="5">
        <v>44443</v>
      </c>
      <c r="P24" s="4" t="s">
        <v>26</v>
      </c>
      <c r="Q24" s="4">
        <v>32600</v>
      </c>
      <c r="R24" s="16">
        <v>32</v>
      </c>
      <c r="T24" t="str">
        <v>Rajini COTHAC0021MaleDiploma44443Packaging Associate3260032</v>
      </c>
    </row>
    <row r="25" spans="11:20">
      <c r="K25" s="4" t="s">
        <v>74</v>
      </c>
      <c r="L25" s="4" t="s">
        <v>75</v>
      </c>
      <c r="M25" s="4" t="s">
        <v>13</v>
      </c>
      <c r="N25" s="4" t="s">
        <v>60</v>
      </c>
      <c r="O25" s="5">
        <v>44001</v>
      </c>
      <c r="P25" s="4" t="s">
        <v>34</v>
      </c>
      <c r="Q25" s="4">
        <v>76800</v>
      </c>
      <c r="R25" s="16">
        <v>33</v>
      </c>
      <c r="T25" t="str">
        <v>Mammo TAC0022MaleBachelor44001Research Scientist7680033</v>
      </c>
    </row>
    <row r="26" spans="11:20">
      <c r="K26" s="4" t="s">
        <v>76</v>
      </c>
      <c r="L26" s="4" t="s">
        <v>77</v>
      </c>
      <c r="M26" s="4" t="s">
        <v>13</v>
      </c>
      <c r="N26" s="4" t="s">
        <v>69</v>
      </c>
      <c r="O26" s="5">
        <v>44933</v>
      </c>
      <c r="P26" s="4" t="s">
        <v>30</v>
      </c>
      <c r="Q26" s="4">
        <v>62300</v>
      </c>
      <c r="R26" s="16">
        <v>34</v>
      </c>
      <c r="T26" t="str">
        <v>Pra BASEAC0023MaleMaster44933Marketing Specialist6230034</v>
      </c>
    </row>
    <row r="27" spans="11:20">
      <c r="K27" s="4" t="s">
        <v>78</v>
      </c>
      <c r="L27" s="4" t="s">
        <v>79</v>
      </c>
      <c r="M27" s="4" t="s">
        <v>13</v>
      </c>
      <c r="N27" s="4" t="s">
        <v>60</v>
      </c>
      <c r="O27" s="5">
        <v>44798</v>
      </c>
      <c r="P27" s="4" t="s">
        <v>37</v>
      </c>
      <c r="Q27" s="4">
        <v>46200</v>
      </c>
      <c r="R27" s="16">
        <v>30</v>
      </c>
      <c r="T27" t="str">
        <v>ROMAN IraniAC0024MaleBachelor44798Sales Representative4620030</v>
      </c>
    </row>
    <row r="28" spans="11:20">
      <c r="K28" s="4" t="s">
        <v>80</v>
      </c>
      <c r="L28" s="4" t="s">
        <v>81</v>
      </c>
      <c r="M28" s="4" t="s">
        <v>20</v>
      </c>
      <c r="N28" s="4" t="s">
        <v>25</v>
      </c>
      <c r="O28" s="5">
        <v>45700</v>
      </c>
      <c r="P28" s="4" t="s">
        <v>26</v>
      </c>
      <c r="Q28" s="4">
        <v>32500</v>
      </c>
      <c r="R28" s="16">
        <v>64</v>
      </c>
      <c r="T28" t="str">
        <v>SUM AnthaAC0025FemaleHigh School Diploma45700Packaging Associate3250064</v>
      </c>
    </row>
    <row r="29" spans="11:20">
      <c r="K29" s="4" t="s">
        <v>82</v>
      </c>
      <c r="L29" s="4" t="s">
        <v>83</v>
      </c>
      <c r="M29" s="4" t="s">
        <v>20</v>
      </c>
      <c r="N29" s="4" t="s">
        <v>21</v>
      </c>
      <c r="O29" s="5">
        <v>45597</v>
      </c>
      <c r="P29" s="4" t="s">
        <v>42</v>
      </c>
      <c r="Q29" s="4">
        <v>43100</v>
      </c>
      <c r="R29" s="16">
        <v>34</v>
      </c>
      <c r="T29" t="str">
        <v>Alia BAHTTEXTAC0026FemaleDiploma45597Quality Control4310034</v>
      </c>
    </row>
    <row r="30" spans="11:20">
      <c r="K30" s="4" t="s">
        <v>84</v>
      </c>
      <c r="L30" s="4" t="s">
        <v>85</v>
      </c>
      <c r="M30" s="4" t="s">
        <v>20</v>
      </c>
      <c r="N30" s="4" t="s">
        <v>60</v>
      </c>
      <c r="O30" s="5">
        <v>44302</v>
      </c>
      <c r="P30" s="4" t="s">
        <v>45</v>
      </c>
      <c r="Q30" s="4">
        <v>60000</v>
      </c>
      <c r="R30" s="16">
        <v>29</v>
      </c>
      <c r="T30" t="str">
        <v>Kaj ALLAC0027FemaleBachelor44302Research Analyst6000029</v>
      </c>
    </row>
    <row r="31" spans="11:20">
      <c r="K31" s="4" t="s">
        <v>86</v>
      </c>
      <c r="L31" s="4" t="s">
        <v>87</v>
      </c>
      <c r="M31" s="4" t="s">
        <v>13</v>
      </c>
      <c r="N31" s="4" t="s">
        <v>69</v>
      </c>
      <c r="O31" s="5">
        <v>44113</v>
      </c>
      <c r="P31" s="4" t="s">
        <v>48</v>
      </c>
      <c r="Q31" s="4">
        <v>82100</v>
      </c>
      <c r="R31" s="16">
        <v>33</v>
      </c>
      <c r="T31" t="str">
        <v>VALUE ArjunAC0028MaleMaster44113Product Manager8210033</v>
      </c>
    </row>
    <row r="32" spans="11:20">
      <c r="K32" s="4" t="s">
        <v>88</v>
      </c>
      <c r="L32" s="4" t="s">
        <v>89</v>
      </c>
      <c r="M32" s="4" t="s">
        <v>13</v>
      </c>
      <c r="N32" s="4" t="s">
        <v>25</v>
      </c>
      <c r="O32" s="5">
        <v>45803</v>
      </c>
      <c r="P32" s="4" t="s">
        <v>22</v>
      </c>
      <c r="Q32" s="4">
        <v>35900</v>
      </c>
      <c r="R32" s="16">
        <v>30</v>
      </c>
      <c r="T32" t="str">
        <v>ShaHIDE KapoorAC0029MaleHigh School Diploma45803Production Operator3590030</v>
      </c>
    </row>
    <row r="33" spans="2:20">
      <c r="K33" s="4" t="s">
        <v>90</v>
      </c>
      <c r="L33" s="4" t="s">
        <v>91</v>
      </c>
      <c r="M33" s="4" t="s">
        <v>13</v>
      </c>
      <c r="N33" s="4" t="s">
        <v>21</v>
      </c>
      <c r="O33" s="5">
        <v>44574</v>
      </c>
      <c r="P33" s="4" t="s">
        <v>26</v>
      </c>
      <c r="Q33" s="4">
        <v>31100</v>
      </c>
      <c r="R33" s="16">
        <v>27</v>
      </c>
      <c r="T33" t="str">
        <v>Paresh ROWLEVELAC0030MaleDiploma44574Packaging Associate3110027</v>
      </c>
    </row>
    <row r="34" spans="2:20">
      <c r="K34" s="4" t="s">
        <v>92</v>
      </c>
      <c r="L34" s="4" t="s">
        <v>93</v>
      </c>
      <c r="M34" s="4" t="s">
        <v>13</v>
      </c>
      <c r="N34" s="4" t="s">
        <v>60</v>
      </c>
      <c r="O34" s="5">
        <v>44039</v>
      </c>
      <c r="P34" s="4" t="s">
        <v>57</v>
      </c>
      <c r="Q34" s="4">
        <v>74200</v>
      </c>
      <c r="R34" s="16">
        <v>31</v>
      </c>
      <c r="T34" t="str">
        <v>Mani RatNAMEAC0031MaleBachelor44039Marketing Manager7420031</v>
      </c>
    </row>
    <row r="35" spans="2:20">
      <c r="K35" s="4" t="s">
        <v>94</v>
      </c>
      <c r="L35" s="4" t="s">
        <v>95</v>
      </c>
      <c r="M35" s="4" t="s">
        <v>13</v>
      </c>
      <c r="N35" s="4" t="s">
        <v>69</v>
      </c>
      <c r="O35" s="5">
        <v>44269</v>
      </c>
      <c r="P35" s="4" t="s">
        <v>45</v>
      </c>
      <c r="Q35" s="4">
        <v>57100</v>
      </c>
      <c r="R35" s="16">
        <v>29</v>
      </c>
      <c r="T35" t="str">
        <v>ViRIGHT KohliAC0032MaleMaster44269Research Analyst5710029</v>
      </c>
    </row>
    <row r="36" spans="2:20">
      <c r="K36" s="4" t="s">
        <v>96</v>
      </c>
      <c r="L36" s="4" t="s">
        <v>97</v>
      </c>
      <c r="M36" s="4" t="s">
        <v>13</v>
      </c>
      <c r="N36" s="4" t="s">
        <v>25</v>
      </c>
      <c r="O36" s="5">
        <v>45563</v>
      </c>
      <c r="P36" s="4" t="s">
        <v>26</v>
      </c>
      <c r="Q36" s="4">
        <v>35200</v>
      </c>
      <c r="R36" s="16">
        <v>34</v>
      </c>
      <c r="T36" t="str">
        <v>SachIF TendulkarAC0033MaleHigh School Diploma45563Packaging Associate3520034</v>
      </c>
    </row>
    <row r="37" spans="2:20">
      <c r="K37" s="4" t="s">
        <v>98</v>
      </c>
      <c r="L37" s="4" t="s">
        <v>99</v>
      </c>
      <c r="M37" s="4" t="s">
        <v>13</v>
      </c>
      <c r="N37" s="4" t="s">
        <v>21</v>
      </c>
      <c r="O37" s="5">
        <v>45027</v>
      </c>
      <c r="P37" s="4" t="s">
        <v>42</v>
      </c>
      <c r="Q37" s="4">
        <v>42800</v>
      </c>
      <c r="R37" s="16">
        <v>31</v>
      </c>
      <c r="T37" t="str">
        <v>Kapil DAYAC0034MaleDiploma45027Quality Control4280031</v>
      </c>
    </row>
    <row r="38" spans="2:20">
      <c r="K38" s="19" t="s">
        <v>100</v>
      </c>
      <c r="L38" s="19" t="s">
        <v>101</v>
      </c>
      <c r="M38" s="19" t="s">
        <v>13</v>
      </c>
      <c r="N38" s="19" t="s">
        <v>60</v>
      </c>
      <c r="O38" s="20">
        <v>44587</v>
      </c>
      <c r="P38" s="19" t="s">
        <v>37</v>
      </c>
      <c r="Q38" s="19">
        <v>46900</v>
      </c>
      <c r="R38" s="21">
        <v>35</v>
      </c>
      <c r="T38" t="str">
        <v>VishwanaTAN AnANDAC0035MaleBachelor44587Sales Representative4690035</v>
      </c>
    </row>
    <row r="40" spans="2:20">
      <c r="B40" s="28" t="s">
        <v>1</v>
      </c>
      <c r="C40" s="28" t="s">
        <v>2</v>
      </c>
      <c r="D40" s="28" t="s">
        <v>3</v>
      </c>
      <c r="E40" s="28" t="s">
        <v>4</v>
      </c>
      <c r="F40" s="28" t="s">
        <v>5</v>
      </c>
      <c r="G40" s="28" t="s">
        <v>6</v>
      </c>
      <c r="H40" s="28" t="s">
        <v>7</v>
      </c>
      <c r="I40" s="28" t="s">
        <v>8</v>
      </c>
    </row>
    <row r="41" spans="2:20">
      <c r="B41" t="str" cm="1">
        <f t="array" ref="B41:I47">_xlfn._xlws.FILTER(Staff[],ISNUMBER(SEARCH(E5,_xlfn.BYROW(Staff[],_xleta.CONCAT))))</f>
        <v>Now Biden</v>
      </c>
      <c r="C41" t="str">
        <v>AC0005</v>
      </c>
      <c r="D41" t="str">
        <v>Female</v>
      </c>
      <c r="E41" t="str">
        <v>Master's Degree</v>
      </c>
      <c r="F41">
        <v>43929</v>
      </c>
      <c r="G41" t="str">
        <v>Research Scientist</v>
      </c>
      <c r="H41">
        <v>77300</v>
      </c>
      <c r="I41">
        <v>30</v>
      </c>
    </row>
    <row r="42" spans="2:20">
      <c r="B42" t="str">
        <v>Abraham LinColumn</v>
      </c>
      <c r="C42" t="str">
        <v>AC0010</v>
      </c>
      <c r="D42" t="str">
        <v>Male</v>
      </c>
      <c r="E42" t="str">
        <v>Master's Degree</v>
      </c>
      <c r="F42">
        <v>44372</v>
      </c>
      <c r="G42" t="str">
        <v>Product Manager</v>
      </c>
      <c r="H42">
        <v>82900</v>
      </c>
      <c r="I42">
        <v>31</v>
      </c>
    </row>
    <row r="43" spans="2:20">
      <c r="B43" t="str">
        <v>Franklin D Choosevelt</v>
      </c>
      <c r="C43" t="str">
        <v>AC0014</v>
      </c>
      <c r="D43" t="str">
        <v>Female</v>
      </c>
      <c r="E43" t="str">
        <v>Master's Degree</v>
      </c>
      <c r="F43">
        <v>44086</v>
      </c>
      <c r="G43" t="str">
        <v>Marketing Manager</v>
      </c>
      <c r="H43">
        <v>74700</v>
      </c>
      <c r="I43">
        <v>52</v>
      </c>
    </row>
    <row r="44" spans="2:20">
      <c r="B44" t="str">
        <v>Shahrukh SCAN</v>
      </c>
      <c r="C44" t="str">
        <v>AC0019</v>
      </c>
      <c r="D44" t="str">
        <v>Male</v>
      </c>
      <c r="E44" t="str">
        <v>Master</v>
      </c>
      <c r="F44">
        <v>43661</v>
      </c>
      <c r="G44" t="str">
        <v>Product Manager</v>
      </c>
      <c r="H44">
        <v>82700</v>
      </c>
      <c r="I44">
        <v>34</v>
      </c>
    </row>
    <row r="45" spans="2:20">
      <c r="B45" t="str">
        <v>Pra BASE</v>
      </c>
      <c r="C45" t="str">
        <v>AC0023</v>
      </c>
      <c r="D45" t="str">
        <v>Male</v>
      </c>
      <c r="E45" t="str">
        <v>Master</v>
      </c>
      <c r="F45">
        <v>44933</v>
      </c>
      <c r="G45" t="str">
        <v>Marketing Specialist</v>
      </c>
      <c r="H45">
        <v>62300</v>
      </c>
      <c r="I45">
        <v>34</v>
      </c>
    </row>
    <row r="46" spans="2:20">
      <c r="B46" t="str">
        <v>VALUE Arjun</v>
      </c>
      <c r="C46" t="str">
        <v>AC0028</v>
      </c>
      <c r="D46" t="str">
        <v>Male</v>
      </c>
      <c r="E46" t="str">
        <v>Master</v>
      </c>
      <c r="F46">
        <v>44113</v>
      </c>
      <c r="G46" t="str">
        <v>Product Manager</v>
      </c>
      <c r="H46">
        <v>82100</v>
      </c>
      <c r="I46">
        <v>33</v>
      </c>
    </row>
    <row r="47" spans="2:20">
      <c r="B47" t="str">
        <v>ViRIGHT Kohli</v>
      </c>
      <c r="C47" t="str">
        <v>AC0032</v>
      </c>
      <c r="D47" t="str">
        <v>Male</v>
      </c>
      <c r="E47" t="str">
        <v>Master</v>
      </c>
      <c r="F47">
        <v>44269</v>
      </c>
      <c r="G47" t="str">
        <v>Research Analyst</v>
      </c>
      <c r="H47">
        <v>57100</v>
      </c>
      <c r="I47">
        <v>29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774B8-2395-4804-8EAC-26BE07A2A5AD}">
  <dimension ref="A1:Q505"/>
  <sheetViews>
    <sheetView workbookViewId="0">
      <selection activeCell="U6" sqref="U6"/>
    </sheetView>
  </sheetViews>
  <sheetFormatPr defaultRowHeight="15"/>
  <cols>
    <col min="1" max="1" width="45.140625" customWidth="1"/>
    <col min="2" max="2" width="24.140625" customWidth="1"/>
    <col min="3" max="3" width="10" bestFit="1" customWidth="1"/>
    <col min="4" max="4" width="17" customWidth="1"/>
    <col min="5" max="5" width="11.28515625" bestFit="1" customWidth="1"/>
    <col min="6" max="6" width="17.5703125" customWidth="1"/>
    <col min="7" max="7" width="20.140625" customWidth="1"/>
    <col min="13" max="13" width="10" bestFit="1" customWidth="1"/>
  </cols>
  <sheetData>
    <row r="1" spans="1:17" s="38" customFormat="1" ht="23.25" customHeight="1">
      <c r="A1" s="35" t="s">
        <v>102</v>
      </c>
      <c r="B1" s="36" t="s">
        <v>103</v>
      </c>
      <c r="C1" s="37"/>
      <c r="D1" s="37"/>
      <c r="E1" s="35" t="s">
        <v>102</v>
      </c>
      <c r="F1" s="35" t="s">
        <v>102</v>
      </c>
      <c r="G1" s="35" t="s">
        <v>102</v>
      </c>
      <c r="H1" s="35" t="s">
        <v>102</v>
      </c>
      <c r="I1" s="35" t="s">
        <v>102</v>
      </c>
    </row>
    <row r="2" spans="1:17" ht="15.75">
      <c r="A2" s="25"/>
      <c r="B2" s="34"/>
      <c r="C2" s="25"/>
      <c r="D2" s="25"/>
      <c r="E2" s="25"/>
      <c r="F2" s="25"/>
      <c r="G2" s="25"/>
      <c r="H2" s="25"/>
      <c r="I2" s="25"/>
      <c r="M2" s="25"/>
      <c r="N2" s="31" t="s">
        <v>104</v>
      </c>
      <c r="O2" s="31"/>
      <c r="P2" s="31"/>
      <c r="Q2" s="31"/>
    </row>
    <row r="3" spans="1:17" ht="28.5" customHeight="1">
      <c r="A3" s="43" t="s">
        <v>105</v>
      </c>
      <c r="B3" s="34"/>
      <c r="C3" s="33"/>
      <c r="D3" s="33"/>
      <c r="E3" s="33"/>
      <c r="F3" s="33"/>
      <c r="G3" s="33"/>
      <c r="H3" s="33"/>
      <c r="I3" s="33"/>
      <c r="M3" s="46" t="s">
        <v>106</v>
      </c>
      <c r="N3" s="46" t="s">
        <v>107</v>
      </c>
      <c r="O3" s="46" t="s">
        <v>108</v>
      </c>
      <c r="P3" s="46" t="s">
        <v>109</v>
      </c>
      <c r="Q3" s="46" t="s">
        <v>110</v>
      </c>
    </row>
    <row r="4" spans="1:17">
      <c r="M4" s="47">
        <v>46022</v>
      </c>
      <c r="N4" s="48">
        <v>0.57884999999999998</v>
      </c>
      <c r="O4" s="48">
        <v>0.86409999999999998</v>
      </c>
      <c r="P4" s="48">
        <v>0.49275000000000002</v>
      </c>
      <c r="Q4" s="48">
        <v>51.975700000000003</v>
      </c>
    </row>
    <row r="5" spans="1:17" ht="22.5" customHeight="1">
      <c r="A5" s="44"/>
      <c r="B5" s="45" t="s">
        <v>111</v>
      </c>
      <c r="C5" s="45" t="s">
        <v>106</v>
      </c>
      <c r="D5" s="45" t="s">
        <v>112</v>
      </c>
      <c r="E5" s="45" t="s">
        <v>113</v>
      </c>
      <c r="F5" s="45" t="s">
        <v>114</v>
      </c>
      <c r="G5" s="45" t="s">
        <v>115</v>
      </c>
      <c r="M5" s="47">
        <v>46031</v>
      </c>
      <c r="N5" s="48">
        <v>0.57455000000000001</v>
      </c>
      <c r="O5" s="48">
        <v>0.85799999999999998</v>
      </c>
      <c r="P5" s="48">
        <v>0.49299999999999999</v>
      </c>
      <c r="Q5" s="48">
        <v>51.725299999999997</v>
      </c>
    </row>
    <row r="6" spans="1:17">
      <c r="B6" s="39" t="s">
        <v>116</v>
      </c>
      <c r="C6" s="40">
        <v>46023</v>
      </c>
      <c r="D6" s="39">
        <v>272.52999999999997</v>
      </c>
      <c r="E6" s="39" t="s">
        <v>109</v>
      </c>
      <c r="F6" s="39" cm="1">
        <f t="array" ref="F6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0.49275000000000002</v>
      </c>
      <c r="G6" s="39">
        <f>ROUNDUP(Table1[[#This Row],[Amount]]/Table1[[#This Row],[Exchange rate]],2)</f>
        <v>553.08000000000004</v>
      </c>
      <c r="M6" s="47">
        <v>46036</v>
      </c>
      <c r="N6" s="48">
        <v>0.57364999999999999</v>
      </c>
      <c r="O6" s="48">
        <v>0.85865000000000002</v>
      </c>
      <c r="P6" s="48">
        <v>0.49270000000000003</v>
      </c>
      <c r="Q6" s="48">
        <v>51.746899999999997</v>
      </c>
    </row>
    <row r="7" spans="1:17">
      <c r="B7" s="25" t="s">
        <v>117</v>
      </c>
      <c r="C7" s="32">
        <v>46023</v>
      </c>
      <c r="D7" s="25">
        <v>91.94</v>
      </c>
      <c r="E7" s="25" t="s">
        <v>107</v>
      </c>
      <c r="F7" s="25" cm="1">
        <f t="array" ref="F7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0.57884999999999998</v>
      </c>
      <c r="G7" s="25">
        <f>ROUNDUP(Table1[[#This Row],[Amount]]/Table1[[#This Row],[Exchange rate]],2)</f>
        <v>158.84</v>
      </c>
      <c r="M7" s="47">
        <v>46038</v>
      </c>
      <c r="N7" s="48">
        <v>0.57445000000000002</v>
      </c>
      <c r="O7" s="48">
        <v>0.85755000000000003</v>
      </c>
      <c r="P7" s="48">
        <v>0.49504999999999999</v>
      </c>
      <c r="Q7" s="48">
        <v>51.87</v>
      </c>
    </row>
    <row r="8" spans="1:17">
      <c r="B8" s="39" t="s">
        <v>118</v>
      </c>
      <c r="C8" s="40">
        <v>46023</v>
      </c>
      <c r="D8" s="39">
        <v>318.11</v>
      </c>
      <c r="E8" s="39" t="s">
        <v>109</v>
      </c>
      <c r="F8" s="39" cm="1">
        <f t="array" ref="F8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0.49275000000000002</v>
      </c>
      <c r="G8" s="39">
        <f>ROUNDUP(Table1[[#This Row],[Amount]]/Table1[[#This Row],[Exchange rate]],2)</f>
        <v>645.59</v>
      </c>
      <c r="M8" s="47">
        <v>46045</v>
      </c>
      <c r="N8" s="48">
        <v>0.59145000000000003</v>
      </c>
      <c r="O8" s="48">
        <v>0.86434999999999995</v>
      </c>
      <c r="P8" s="48">
        <v>0.50339999999999996</v>
      </c>
      <c r="Q8" s="48">
        <v>54.188699999999997</v>
      </c>
    </row>
    <row r="9" spans="1:17">
      <c r="B9" s="25" t="s">
        <v>119</v>
      </c>
      <c r="C9" s="32">
        <v>46023</v>
      </c>
      <c r="D9" s="41">
        <v>23234.29</v>
      </c>
      <c r="E9" s="25" t="s">
        <v>110</v>
      </c>
      <c r="F9" s="25" cm="1">
        <f t="array" ref="F9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51.975700000000003</v>
      </c>
      <c r="G9" s="25">
        <f>ROUNDUP(Table1[[#This Row],[Amount]]/Table1[[#This Row],[Exchange rate]],2)</f>
        <v>447.03</v>
      </c>
      <c r="M9" s="47">
        <v>46052</v>
      </c>
      <c r="N9" s="48">
        <v>0.60585</v>
      </c>
      <c r="O9" s="48">
        <v>0.86224999999999996</v>
      </c>
      <c r="P9" s="48">
        <v>0.50785000000000002</v>
      </c>
      <c r="Q9" s="48">
        <v>55.7136</v>
      </c>
    </row>
    <row r="10" spans="1:17">
      <c r="B10" s="39" t="s">
        <v>120</v>
      </c>
      <c r="C10" s="40">
        <v>46023</v>
      </c>
      <c r="D10" s="42">
        <v>6875.52</v>
      </c>
      <c r="E10" s="39" t="s">
        <v>110</v>
      </c>
      <c r="F10" s="39" cm="1">
        <f t="array" ref="F10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51.975700000000003</v>
      </c>
      <c r="G10" s="39">
        <f>ROUNDUP(Table1[[#This Row],[Amount]]/Table1[[#This Row],[Exchange rate]],2)</f>
        <v>132.29</v>
      </c>
      <c r="M10" s="47">
        <v>46066</v>
      </c>
      <c r="N10" s="48">
        <v>0.60324999999999995</v>
      </c>
      <c r="O10" s="48">
        <v>0.85150000000000003</v>
      </c>
      <c r="P10" s="48">
        <v>0.5081</v>
      </c>
      <c r="Q10" s="48">
        <v>54.665799999999997</v>
      </c>
    </row>
    <row r="11" spans="1:17">
      <c r="B11" s="25" t="s">
        <v>121</v>
      </c>
      <c r="C11" s="32">
        <v>46024</v>
      </c>
      <c r="D11" s="41">
        <v>5744.75</v>
      </c>
      <c r="E11" s="25" t="s">
        <v>110</v>
      </c>
      <c r="F11" s="25" cm="1">
        <f t="array" ref="F11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51.975700000000003</v>
      </c>
      <c r="G11" s="25">
        <f>ROUNDUP(Table1[[#This Row],[Amount]]/Table1[[#This Row],[Exchange rate]],2)</f>
        <v>110.53</v>
      </c>
      <c r="M11" s="47">
        <v>46073</v>
      </c>
      <c r="N11" s="48">
        <v>0.59655000000000002</v>
      </c>
      <c r="O11" s="48">
        <v>0.84550000000000003</v>
      </c>
      <c r="P11" s="48">
        <v>0.50685000000000002</v>
      </c>
      <c r="Q11" s="48">
        <v>54.093699999999998</v>
      </c>
    </row>
    <row r="12" spans="1:17">
      <c r="B12" s="39" t="s">
        <v>122</v>
      </c>
      <c r="C12" s="40">
        <v>46024</v>
      </c>
      <c r="D12" s="39">
        <v>120.08</v>
      </c>
      <c r="E12" s="39" t="s">
        <v>107</v>
      </c>
      <c r="F12" s="39" cm="1">
        <f t="array" ref="F12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0.57884999999999998</v>
      </c>
      <c r="G12" s="39">
        <f>ROUNDUP(Table1[[#This Row],[Amount]]/Table1[[#This Row],[Exchange rate]],2)</f>
        <v>207.45</v>
      </c>
      <c r="M12" s="47">
        <v>46080</v>
      </c>
      <c r="N12" s="48">
        <v>0.59775</v>
      </c>
      <c r="O12" s="48">
        <v>0.84194999999999998</v>
      </c>
      <c r="P12" s="48">
        <v>0.50670000000000004</v>
      </c>
      <c r="Q12" s="48">
        <v>54.344099999999997</v>
      </c>
    </row>
    <row r="13" spans="1:17">
      <c r="B13" s="25" t="s">
        <v>123</v>
      </c>
      <c r="C13" s="32">
        <v>46024</v>
      </c>
      <c r="D13" s="25">
        <v>206.14</v>
      </c>
      <c r="E13" s="25" t="s">
        <v>124</v>
      </c>
      <c r="F13" s="25" cm="1">
        <f t="array" ref="F13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1</v>
      </c>
      <c r="G13" s="25">
        <f>ROUNDUP(Table1[[#This Row],[Amount]]/Table1[[#This Row],[Exchange rate]],2)</f>
        <v>206.14</v>
      </c>
      <c r="M13" s="47">
        <v>46087</v>
      </c>
      <c r="N13" s="48">
        <v>0.59075</v>
      </c>
      <c r="O13" s="48">
        <v>0.84145000000000003</v>
      </c>
      <c r="P13" s="48">
        <v>0.50880000000000003</v>
      </c>
      <c r="Q13" s="48">
        <v>54.107599999999998</v>
      </c>
    </row>
    <row r="14" spans="1:17">
      <c r="B14" s="39" t="s">
        <v>125</v>
      </c>
      <c r="C14" s="40">
        <v>46024</v>
      </c>
      <c r="D14" s="39">
        <v>205.96</v>
      </c>
      <c r="E14" s="39" t="s">
        <v>109</v>
      </c>
      <c r="F14" s="39" cm="1">
        <f t="array" ref="F14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0.49275000000000002</v>
      </c>
      <c r="G14" s="39">
        <f>ROUNDUP(Table1[[#This Row],[Amount]]/Table1[[#This Row],[Exchange rate]],2)</f>
        <v>417.99</v>
      </c>
      <c r="M14" s="47">
        <v>46094</v>
      </c>
      <c r="N14" s="48">
        <v>0.58560000000000001</v>
      </c>
      <c r="O14" s="48">
        <v>0.82645000000000002</v>
      </c>
      <c r="P14" s="48">
        <v>0.50814999999999999</v>
      </c>
      <c r="Q14" s="48">
        <v>53.984299999999998</v>
      </c>
    </row>
    <row r="15" spans="1:17">
      <c r="B15" s="25" t="s">
        <v>126</v>
      </c>
      <c r="C15" s="32">
        <v>46025</v>
      </c>
      <c r="D15" s="25">
        <v>242.71</v>
      </c>
      <c r="E15" s="25" t="s">
        <v>108</v>
      </c>
      <c r="F15" s="25" cm="1">
        <f t="array" ref="F15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0.86409999999999998</v>
      </c>
      <c r="G15" s="25">
        <f>ROUNDUP(Table1[[#This Row],[Amount]]/Table1[[#This Row],[Exchange rate]],2)</f>
        <v>280.89</v>
      </c>
      <c r="M15" s="47">
        <v>46101</v>
      </c>
      <c r="N15" s="48">
        <v>0.58814999999999995</v>
      </c>
      <c r="O15" s="48">
        <v>0.83045000000000002</v>
      </c>
      <c r="P15" s="48">
        <v>0.50814999999999999</v>
      </c>
      <c r="Q15" s="48">
        <v>54.484699999999997</v>
      </c>
    </row>
    <row r="16" spans="1:17">
      <c r="B16" s="39" t="s">
        <v>127</v>
      </c>
      <c r="C16" s="40">
        <v>46025</v>
      </c>
      <c r="D16" s="39">
        <v>186.21</v>
      </c>
      <c r="E16" s="39" t="s">
        <v>124</v>
      </c>
      <c r="F16" s="39" cm="1">
        <f t="array" ref="F16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1</v>
      </c>
      <c r="G16" s="39">
        <f>ROUNDUP(Table1[[#This Row],[Amount]]/Table1[[#This Row],[Exchange rate]],2)</f>
        <v>186.21</v>
      </c>
      <c r="M16" s="47">
        <v>46108</v>
      </c>
      <c r="N16" s="48">
        <v>0.57565</v>
      </c>
      <c r="O16" s="48">
        <v>0.83730000000000004</v>
      </c>
      <c r="P16" s="48">
        <v>0.49919999999999998</v>
      </c>
      <c r="Q16" s="48">
        <v>54.095300000000002</v>
      </c>
    </row>
    <row r="17" spans="2:17">
      <c r="B17" s="25" t="s">
        <v>128</v>
      </c>
      <c r="C17" s="32">
        <v>46025</v>
      </c>
      <c r="D17" s="41">
        <v>27062</v>
      </c>
      <c r="E17" s="25" t="s">
        <v>110</v>
      </c>
      <c r="F17" s="25" cm="1">
        <f t="array" ref="F17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51.975700000000003</v>
      </c>
      <c r="G17" s="25">
        <f>ROUNDUP(Table1[[#This Row],[Amount]]/Table1[[#This Row],[Exchange rate]],2)</f>
        <v>520.66999999999996</v>
      </c>
      <c r="M17" s="47">
        <v>46112</v>
      </c>
      <c r="N17" s="48">
        <v>0.57235000000000003</v>
      </c>
      <c r="O17" s="48">
        <v>0.83465</v>
      </c>
      <c r="P17" s="48">
        <v>0.49875000000000003</v>
      </c>
      <c r="Q17" s="48">
        <v>54.286700000000003</v>
      </c>
    </row>
    <row r="18" spans="2:17">
      <c r="B18" s="39" t="s">
        <v>129</v>
      </c>
      <c r="C18" s="40">
        <v>46025</v>
      </c>
      <c r="D18" s="39">
        <v>282.75</v>
      </c>
      <c r="E18" s="39" t="s">
        <v>108</v>
      </c>
      <c r="F18" s="39" cm="1">
        <f t="array" ref="F18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0.86409999999999998</v>
      </c>
      <c r="G18" s="39">
        <f>ROUNDUP(Table1[[#This Row],[Amount]]/Table1[[#This Row],[Exchange rate]],2)</f>
        <v>327.21999999999997</v>
      </c>
      <c r="M18" s="47">
        <v>46122</v>
      </c>
      <c r="N18" s="48">
        <v>0.58530000000000004</v>
      </c>
      <c r="O18" s="48">
        <v>0.82715000000000005</v>
      </c>
      <c r="P18" s="48">
        <v>0.50055000000000005</v>
      </c>
      <c r="Q18" s="48">
        <v>54.235399999999998</v>
      </c>
    </row>
    <row r="19" spans="2:17">
      <c r="B19" s="25" t="s">
        <v>130</v>
      </c>
      <c r="C19" s="32">
        <v>46026</v>
      </c>
      <c r="D19" s="25">
        <v>499.09</v>
      </c>
      <c r="E19" s="25" t="s">
        <v>124</v>
      </c>
      <c r="F19" s="25" cm="1">
        <f t="array" ref="F19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1</v>
      </c>
      <c r="G19" s="25">
        <f>ROUNDUP(Table1[[#This Row],[Amount]]/Table1[[#This Row],[Exchange rate]],2)</f>
        <v>499.09</v>
      </c>
      <c r="M19" s="47">
        <v>46126</v>
      </c>
      <c r="N19" s="48">
        <v>0.58579999999999999</v>
      </c>
      <c r="O19" s="48">
        <v>0.82745000000000002</v>
      </c>
      <c r="P19" s="48">
        <v>0.49809999999999999</v>
      </c>
      <c r="Q19" s="48">
        <v>54.704900000000002</v>
      </c>
    </row>
    <row r="20" spans="2:17">
      <c r="B20" s="39" t="s">
        <v>131</v>
      </c>
      <c r="C20" s="40">
        <v>46026</v>
      </c>
      <c r="D20" s="42">
        <v>4807.68</v>
      </c>
      <c r="E20" s="39" t="s">
        <v>110</v>
      </c>
      <c r="F20" s="39" cm="1">
        <f t="array" ref="F20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51.975700000000003</v>
      </c>
      <c r="G20" s="39">
        <f>ROUNDUP(Table1[[#This Row],[Amount]]/Table1[[#This Row],[Exchange rate]],2)</f>
        <v>92.5</v>
      </c>
      <c r="M20" s="47">
        <v>46129</v>
      </c>
      <c r="N20" s="48">
        <v>0.58835000000000004</v>
      </c>
      <c r="O20" s="48">
        <v>0.82145000000000001</v>
      </c>
      <c r="P20" s="48">
        <v>0.49964999999999998</v>
      </c>
      <c r="Q20" s="48">
        <v>54.835000000000001</v>
      </c>
    </row>
    <row r="21" spans="2:17">
      <c r="B21" s="25" t="s">
        <v>132</v>
      </c>
      <c r="C21" s="32">
        <v>46026</v>
      </c>
      <c r="D21" s="25">
        <v>347.02</v>
      </c>
      <c r="E21" s="25" t="s">
        <v>107</v>
      </c>
      <c r="F21" s="25" cm="1">
        <f t="array" ref="F21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0.57884999999999998</v>
      </c>
      <c r="G21" s="25">
        <f>ROUNDUP(Table1[[#This Row],[Amount]]/Table1[[#This Row],[Exchange rate]],2)</f>
        <v>599.5</v>
      </c>
      <c r="M21" s="47">
        <v>46136</v>
      </c>
      <c r="N21" s="48">
        <v>0.58594999999999997</v>
      </c>
      <c r="O21" s="48">
        <v>0.82164999999999999</v>
      </c>
      <c r="P21" s="48">
        <v>0.50134999999999996</v>
      </c>
      <c r="Q21" s="48">
        <v>55.142299999999999</v>
      </c>
    </row>
    <row r="22" spans="2:17">
      <c r="B22" s="39" t="s">
        <v>133</v>
      </c>
      <c r="C22" s="40">
        <v>46026</v>
      </c>
      <c r="D22" s="39">
        <v>234.25</v>
      </c>
      <c r="E22" s="39" t="s">
        <v>107</v>
      </c>
      <c r="F22" s="39" cm="1">
        <f t="array" ref="F22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0.57884999999999998</v>
      </c>
      <c r="G22" s="39">
        <f>ROUNDUP(Table1[[#This Row],[Amount]]/Table1[[#This Row],[Exchange rate]],2)</f>
        <v>404.69</v>
      </c>
      <c r="M22" s="47">
        <v>46142</v>
      </c>
      <c r="N22" s="48">
        <v>0.58335000000000004</v>
      </c>
      <c r="O22" s="48">
        <v>0.81869999999999998</v>
      </c>
      <c r="P22" s="48">
        <v>0.49969999999999998</v>
      </c>
      <c r="Q22" s="48">
        <v>55.332999999999998</v>
      </c>
    </row>
    <row r="23" spans="2:17">
      <c r="B23" s="25" t="s">
        <v>134</v>
      </c>
      <c r="C23" s="32">
        <v>46027</v>
      </c>
      <c r="D23" s="25">
        <v>210.71</v>
      </c>
      <c r="E23" s="25" t="s">
        <v>109</v>
      </c>
      <c r="F23" s="25" cm="1">
        <f t="array" ref="F23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0.49275000000000002</v>
      </c>
      <c r="G23" s="25">
        <f>ROUNDUP(Table1[[#This Row],[Amount]]/Table1[[#This Row],[Exchange rate]],2)</f>
        <v>427.63</v>
      </c>
      <c r="M23" s="47">
        <v>46143</v>
      </c>
      <c r="N23" s="48">
        <v>0.59065000000000001</v>
      </c>
      <c r="O23" s="48">
        <v>0.82004999999999995</v>
      </c>
      <c r="P23" s="48">
        <v>0.50349999999999995</v>
      </c>
      <c r="Q23" s="48">
        <v>56.0608</v>
      </c>
    </row>
    <row r="24" spans="2:17">
      <c r="B24" s="39" t="s">
        <v>135</v>
      </c>
      <c r="C24" s="40">
        <v>46027</v>
      </c>
      <c r="D24" s="39">
        <v>452.47</v>
      </c>
      <c r="E24" s="39" t="s">
        <v>124</v>
      </c>
      <c r="F24" s="39" cm="1">
        <f t="array" ref="F24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1</v>
      </c>
      <c r="G24" s="39">
        <f>ROUNDUP(Table1[[#This Row],[Amount]]/Table1[[#This Row],[Exchange rate]],2)</f>
        <v>452.47</v>
      </c>
      <c r="M24" s="47">
        <v>46150</v>
      </c>
      <c r="N24" s="48">
        <v>0.59379999999999999</v>
      </c>
      <c r="O24" s="48">
        <v>0.82364999999999999</v>
      </c>
      <c r="P24" s="48">
        <v>0.50614999999999999</v>
      </c>
      <c r="Q24" s="48">
        <v>55.9664</v>
      </c>
    </row>
    <row r="25" spans="2:17">
      <c r="B25" s="25" t="s">
        <v>136</v>
      </c>
      <c r="C25" s="32">
        <v>46027</v>
      </c>
      <c r="D25" s="25">
        <v>382.26</v>
      </c>
      <c r="E25" s="25" t="s">
        <v>108</v>
      </c>
      <c r="F25" s="25" cm="1">
        <f t="array" ref="F25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0.86409999999999998</v>
      </c>
      <c r="G25" s="25">
        <f>ROUNDUP(Table1[[#This Row],[Amount]]/Table1[[#This Row],[Exchange rate]],2)</f>
        <v>442.38</v>
      </c>
      <c r="M25" s="47">
        <v>46156</v>
      </c>
      <c r="N25" s="48">
        <v>0.59284999999999999</v>
      </c>
      <c r="O25" s="48">
        <v>0.81820000000000004</v>
      </c>
      <c r="P25" s="48">
        <v>0.50609999999999999</v>
      </c>
      <c r="Q25" s="48">
        <v>56.738</v>
      </c>
    </row>
    <row r="26" spans="2:17">
      <c r="B26" s="39" t="s">
        <v>137</v>
      </c>
      <c r="C26" s="40">
        <v>46027</v>
      </c>
      <c r="D26" s="39">
        <v>368.06</v>
      </c>
      <c r="E26" s="39" t="s">
        <v>124</v>
      </c>
      <c r="F26" s="39" cm="1">
        <f t="array" ref="F26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1</v>
      </c>
      <c r="G26" s="39">
        <f>ROUNDUP(Table1[[#This Row],[Amount]]/Table1[[#This Row],[Exchange rate]],2)</f>
        <v>368.06</v>
      </c>
      <c r="M26" s="47">
        <v>46157</v>
      </c>
      <c r="N26" s="48">
        <v>0.58830000000000005</v>
      </c>
      <c r="O26" s="48">
        <v>0.81855</v>
      </c>
      <c r="P26" s="48">
        <v>0.50509999999999999</v>
      </c>
      <c r="Q26" s="48">
        <v>56.339300000000001</v>
      </c>
    </row>
    <row r="27" spans="2:17">
      <c r="B27" s="25" t="s">
        <v>138</v>
      </c>
      <c r="C27" s="32">
        <v>46028</v>
      </c>
      <c r="D27" s="25">
        <v>270.08999999999997</v>
      </c>
      <c r="E27" s="25" t="s">
        <v>109</v>
      </c>
      <c r="F27" s="25" cm="1">
        <f t="array" ref="F27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0.49275000000000002</v>
      </c>
      <c r="G27" s="25">
        <f>ROUNDUP(Table1[[#This Row],[Amount]]/Table1[[#This Row],[Exchange rate]],2)</f>
        <v>548.13</v>
      </c>
    </row>
    <row r="28" spans="2:17">
      <c r="B28" s="39" t="s">
        <v>139</v>
      </c>
      <c r="C28" s="40">
        <v>46028</v>
      </c>
      <c r="D28" s="39">
        <v>352.7</v>
      </c>
      <c r="E28" s="39" t="s">
        <v>109</v>
      </c>
      <c r="F28" s="39" cm="1">
        <f t="array" ref="F28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0.49275000000000002</v>
      </c>
      <c r="G28" s="39">
        <f>ROUNDUP(Table1[[#This Row],[Amount]]/Table1[[#This Row],[Exchange rate]],2)</f>
        <v>715.78</v>
      </c>
    </row>
    <row r="29" spans="2:17">
      <c r="B29" s="25" t="s">
        <v>140</v>
      </c>
      <c r="C29" s="32">
        <v>46028</v>
      </c>
      <c r="D29" s="41">
        <v>4679.6400000000003</v>
      </c>
      <c r="E29" s="25" t="s">
        <v>110</v>
      </c>
      <c r="F29" s="25" cm="1">
        <f t="array" ref="F29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51.975700000000003</v>
      </c>
      <c r="G29" s="25">
        <f>ROUNDUP(Table1[[#This Row],[Amount]]/Table1[[#This Row],[Exchange rate]],2)</f>
        <v>90.04</v>
      </c>
    </row>
    <row r="30" spans="2:17">
      <c r="B30" s="39" t="s">
        <v>141</v>
      </c>
      <c r="C30" s="40">
        <v>46028</v>
      </c>
      <c r="D30" s="39">
        <v>427.2</v>
      </c>
      <c r="E30" s="39" t="s">
        <v>109</v>
      </c>
      <c r="F30" s="39" cm="1">
        <f t="array" ref="F30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0.49275000000000002</v>
      </c>
      <c r="G30" s="39">
        <f>ROUNDUP(Table1[[#This Row],[Amount]]/Table1[[#This Row],[Exchange rate]],2)</f>
        <v>866.98</v>
      </c>
    </row>
    <row r="31" spans="2:17">
      <c r="B31" s="25" t="s">
        <v>142</v>
      </c>
      <c r="C31" s="32">
        <v>46028</v>
      </c>
      <c r="D31" s="41">
        <v>19623.099999999999</v>
      </c>
      <c r="E31" s="25" t="s">
        <v>110</v>
      </c>
      <c r="F31" s="25" cm="1">
        <f t="array" ref="F31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51.975700000000003</v>
      </c>
      <c r="G31" s="25">
        <f>ROUNDUP(Table1[[#This Row],[Amount]]/Table1[[#This Row],[Exchange rate]],2)</f>
        <v>377.55</v>
      </c>
    </row>
    <row r="32" spans="2:17">
      <c r="B32" s="39" t="s">
        <v>143</v>
      </c>
      <c r="C32" s="40">
        <v>46028</v>
      </c>
      <c r="D32" s="39">
        <v>401.86</v>
      </c>
      <c r="E32" s="39" t="s">
        <v>108</v>
      </c>
      <c r="F32" s="39" cm="1">
        <f t="array" ref="F32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0.86409999999999998</v>
      </c>
      <c r="G32" s="39">
        <f>ROUNDUP(Table1[[#This Row],[Amount]]/Table1[[#This Row],[Exchange rate]],2)</f>
        <v>465.07</v>
      </c>
    </row>
    <row r="33" spans="2:7">
      <c r="B33" s="25" t="s">
        <v>144</v>
      </c>
      <c r="C33" s="32">
        <v>46029</v>
      </c>
      <c r="D33" s="25">
        <v>160.91999999999999</v>
      </c>
      <c r="E33" s="25" t="s">
        <v>107</v>
      </c>
      <c r="F33" s="25" cm="1">
        <f t="array" ref="F33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0.57884999999999998</v>
      </c>
      <c r="G33" s="25">
        <f>ROUNDUP(Table1[[#This Row],[Amount]]/Table1[[#This Row],[Exchange rate]],2)</f>
        <v>278</v>
      </c>
    </row>
    <row r="34" spans="2:7">
      <c r="B34" s="39" t="s">
        <v>145</v>
      </c>
      <c r="C34" s="40">
        <v>46029</v>
      </c>
      <c r="D34" s="39">
        <v>456.15</v>
      </c>
      <c r="E34" s="39" t="s">
        <v>107</v>
      </c>
      <c r="F34" s="39" cm="1">
        <f t="array" ref="F34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0.57884999999999998</v>
      </c>
      <c r="G34" s="39">
        <f>ROUNDUP(Table1[[#This Row],[Amount]]/Table1[[#This Row],[Exchange rate]],2)</f>
        <v>788.03</v>
      </c>
    </row>
    <row r="35" spans="2:7">
      <c r="B35" s="25" t="s">
        <v>146</v>
      </c>
      <c r="C35" s="32">
        <v>46029</v>
      </c>
      <c r="D35" s="25">
        <v>350.59</v>
      </c>
      <c r="E35" s="25" t="s">
        <v>107</v>
      </c>
      <c r="F35" s="25" cm="1">
        <f t="array" ref="F35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0.57884999999999998</v>
      </c>
      <c r="G35" s="25">
        <f>ROUNDUP(Table1[[#This Row],[Amount]]/Table1[[#This Row],[Exchange rate]],2)</f>
        <v>605.66999999999996</v>
      </c>
    </row>
    <row r="36" spans="2:7">
      <c r="B36" s="39" t="s">
        <v>147</v>
      </c>
      <c r="C36" s="40">
        <v>46029</v>
      </c>
      <c r="D36" s="39">
        <v>458.87</v>
      </c>
      <c r="E36" s="39" t="s">
        <v>109</v>
      </c>
      <c r="F36" s="39" cm="1">
        <f t="array" ref="F36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0.49275000000000002</v>
      </c>
      <c r="G36" s="39">
        <f>ROUNDUP(Table1[[#This Row],[Amount]]/Table1[[#This Row],[Exchange rate]],2)</f>
        <v>931.25</v>
      </c>
    </row>
    <row r="37" spans="2:7">
      <c r="B37" s="25" t="s">
        <v>148</v>
      </c>
      <c r="C37" s="32">
        <v>46029</v>
      </c>
      <c r="D37" s="25">
        <v>130.96</v>
      </c>
      <c r="E37" s="25" t="s">
        <v>107</v>
      </c>
      <c r="F37" s="25" cm="1">
        <f t="array" ref="F37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0.57884999999999998</v>
      </c>
      <c r="G37" s="25">
        <f>ROUNDUP(Table1[[#This Row],[Amount]]/Table1[[#This Row],[Exchange rate]],2)</f>
        <v>226.25</v>
      </c>
    </row>
    <row r="38" spans="2:7">
      <c r="B38" s="39" t="s">
        <v>149</v>
      </c>
      <c r="C38" s="40">
        <v>46030</v>
      </c>
      <c r="D38" s="42">
        <v>23414.81</v>
      </c>
      <c r="E38" s="39" t="s">
        <v>110</v>
      </c>
      <c r="F38" s="39" cm="1">
        <f t="array" ref="F38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51.975700000000003</v>
      </c>
      <c r="G38" s="39">
        <f>ROUNDUP(Table1[[#This Row],[Amount]]/Table1[[#This Row],[Exchange rate]],2)</f>
        <v>450.5</v>
      </c>
    </row>
    <row r="39" spans="2:7">
      <c r="B39" s="25" t="s">
        <v>150</v>
      </c>
      <c r="C39" s="32">
        <v>46030</v>
      </c>
      <c r="D39" s="25">
        <v>268.83</v>
      </c>
      <c r="E39" s="25" t="s">
        <v>124</v>
      </c>
      <c r="F39" s="25" cm="1">
        <f t="array" ref="F39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1</v>
      </c>
      <c r="G39" s="25">
        <f>ROUNDUP(Table1[[#This Row],[Amount]]/Table1[[#This Row],[Exchange rate]],2)</f>
        <v>268.83</v>
      </c>
    </row>
    <row r="40" spans="2:7">
      <c r="B40" s="39" t="s">
        <v>151</v>
      </c>
      <c r="C40" s="40">
        <v>46030</v>
      </c>
      <c r="D40" s="42">
        <v>24496.61</v>
      </c>
      <c r="E40" s="39" t="s">
        <v>110</v>
      </c>
      <c r="F40" s="39" cm="1">
        <f t="array" ref="F40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51.975700000000003</v>
      </c>
      <c r="G40" s="39">
        <f>ROUNDUP(Table1[[#This Row],[Amount]]/Table1[[#This Row],[Exchange rate]],2)</f>
        <v>471.31</v>
      </c>
    </row>
    <row r="41" spans="2:7">
      <c r="B41" s="25" t="s">
        <v>152</v>
      </c>
      <c r="C41" s="32">
        <v>46030</v>
      </c>
      <c r="D41" s="25">
        <v>325.01</v>
      </c>
      <c r="E41" s="25" t="s">
        <v>124</v>
      </c>
      <c r="F41" s="25" cm="1">
        <f t="array" ref="F41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1</v>
      </c>
      <c r="G41" s="25">
        <f>ROUNDUP(Table1[[#This Row],[Amount]]/Table1[[#This Row],[Exchange rate]],2)</f>
        <v>325.01</v>
      </c>
    </row>
    <row r="42" spans="2:7">
      <c r="B42" s="39" t="s">
        <v>153</v>
      </c>
      <c r="C42" s="40">
        <v>46031</v>
      </c>
      <c r="D42" s="39">
        <v>430.24</v>
      </c>
      <c r="E42" s="39" t="s">
        <v>107</v>
      </c>
      <c r="F42" s="39" cm="1">
        <f t="array" ref="F42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0.57455000000000001</v>
      </c>
      <c r="G42" s="39">
        <f>ROUNDUP(Table1[[#This Row],[Amount]]/Table1[[#This Row],[Exchange rate]],2)</f>
        <v>748.83</v>
      </c>
    </row>
    <row r="43" spans="2:7">
      <c r="B43" s="25" t="s">
        <v>154</v>
      </c>
      <c r="C43" s="32">
        <v>46031</v>
      </c>
      <c r="D43" s="25">
        <v>75.709999999999994</v>
      </c>
      <c r="E43" s="25" t="s">
        <v>124</v>
      </c>
      <c r="F43" s="25" cm="1">
        <f t="array" ref="F43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1</v>
      </c>
      <c r="G43" s="25">
        <f>ROUNDUP(Table1[[#This Row],[Amount]]/Table1[[#This Row],[Exchange rate]],2)</f>
        <v>75.709999999999994</v>
      </c>
    </row>
    <row r="44" spans="2:7">
      <c r="B44" s="39" t="s">
        <v>155</v>
      </c>
      <c r="C44" s="40">
        <v>46031</v>
      </c>
      <c r="D44" s="39">
        <v>395.22</v>
      </c>
      <c r="E44" s="39" t="s">
        <v>107</v>
      </c>
      <c r="F44" s="39" cm="1">
        <f t="array" ref="F44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0.57455000000000001</v>
      </c>
      <c r="G44" s="39">
        <f>ROUNDUP(Table1[[#This Row],[Amount]]/Table1[[#This Row],[Exchange rate]],2)</f>
        <v>687.88</v>
      </c>
    </row>
    <row r="45" spans="2:7">
      <c r="B45" s="25" t="s">
        <v>156</v>
      </c>
      <c r="C45" s="32">
        <v>46032</v>
      </c>
      <c r="D45" s="41">
        <v>3762.88</v>
      </c>
      <c r="E45" s="25" t="s">
        <v>110</v>
      </c>
      <c r="F45" s="25" cm="1">
        <f t="array" ref="F45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51.725299999999997</v>
      </c>
      <c r="G45" s="25">
        <f>ROUNDUP(Table1[[#This Row],[Amount]]/Table1[[#This Row],[Exchange rate]],2)</f>
        <v>72.75</v>
      </c>
    </row>
    <row r="46" spans="2:7">
      <c r="B46" s="39" t="s">
        <v>157</v>
      </c>
      <c r="C46" s="40">
        <v>46032</v>
      </c>
      <c r="D46" s="42">
        <v>20050.080000000002</v>
      </c>
      <c r="E46" s="39" t="s">
        <v>110</v>
      </c>
      <c r="F46" s="39" cm="1">
        <f t="array" ref="F46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51.725299999999997</v>
      </c>
      <c r="G46" s="39">
        <f>ROUNDUP(Table1[[#This Row],[Amount]]/Table1[[#This Row],[Exchange rate]],2)</f>
        <v>387.63</v>
      </c>
    </row>
    <row r="47" spans="2:7">
      <c r="B47" s="25" t="s">
        <v>158</v>
      </c>
      <c r="C47" s="32">
        <v>46032</v>
      </c>
      <c r="D47" s="25">
        <v>444.07</v>
      </c>
      <c r="E47" s="25" t="s">
        <v>108</v>
      </c>
      <c r="F47" s="25" cm="1">
        <f t="array" ref="F47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0.85799999999999998</v>
      </c>
      <c r="G47" s="25">
        <f>ROUNDUP(Table1[[#This Row],[Amount]]/Table1[[#This Row],[Exchange rate]],2)</f>
        <v>517.56999999999994</v>
      </c>
    </row>
    <row r="48" spans="2:7">
      <c r="B48" s="39" t="s">
        <v>159</v>
      </c>
      <c r="C48" s="40">
        <v>46032</v>
      </c>
      <c r="D48" s="39">
        <v>456.1</v>
      </c>
      <c r="E48" s="39" t="s">
        <v>108</v>
      </c>
      <c r="F48" s="39" cm="1">
        <f t="array" ref="F48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0.85799999999999998</v>
      </c>
      <c r="G48" s="39">
        <f>ROUNDUP(Table1[[#This Row],[Amount]]/Table1[[#This Row],[Exchange rate]],2)</f>
        <v>531.59</v>
      </c>
    </row>
    <row r="49" spans="2:7">
      <c r="B49" s="25" t="s">
        <v>160</v>
      </c>
      <c r="C49" s="32">
        <v>46033</v>
      </c>
      <c r="D49" s="25">
        <v>165.58</v>
      </c>
      <c r="E49" s="25" t="s">
        <v>124</v>
      </c>
      <c r="F49" s="25" cm="1">
        <f t="array" ref="F49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1</v>
      </c>
      <c r="G49" s="25">
        <f>ROUNDUP(Table1[[#This Row],[Amount]]/Table1[[#This Row],[Exchange rate]],2)</f>
        <v>165.58</v>
      </c>
    </row>
    <row r="50" spans="2:7">
      <c r="B50" s="39" t="s">
        <v>161</v>
      </c>
      <c r="C50" s="40">
        <v>46033</v>
      </c>
      <c r="D50" s="39">
        <v>423.91</v>
      </c>
      <c r="E50" s="39" t="s">
        <v>107</v>
      </c>
      <c r="F50" s="39" cm="1">
        <f t="array" ref="F50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0.57455000000000001</v>
      </c>
      <c r="G50" s="39">
        <f>ROUNDUP(Table1[[#This Row],[Amount]]/Table1[[#This Row],[Exchange rate]],2)</f>
        <v>737.81999999999994</v>
      </c>
    </row>
    <row r="51" spans="2:7">
      <c r="B51" s="25" t="s">
        <v>162</v>
      </c>
      <c r="C51" s="32">
        <v>46033</v>
      </c>
      <c r="D51" s="25">
        <v>407.34</v>
      </c>
      <c r="E51" s="25" t="s">
        <v>107</v>
      </c>
      <c r="F51" s="25" cm="1">
        <f t="array" ref="F51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0.57455000000000001</v>
      </c>
      <c r="G51" s="25">
        <f>ROUNDUP(Table1[[#This Row],[Amount]]/Table1[[#This Row],[Exchange rate]],2)</f>
        <v>708.98</v>
      </c>
    </row>
    <row r="52" spans="2:7">
      <c r="B52" s="39" t="s">
        <v>163</v>
      </c>
      <c r="C52" s="40">
        <v>46033</v>
      </c>
      <c r="D52" s="39">
        <v>424.75</v>
      </c>
      <c r="E52" s="39" t="s">
        <v>108</v>
      </c>
      <c r="F52" s="39" cm="1">
        <f t="array" ref="F52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0.85799999999999998</v>
      </c>
      <c r="G52" s="39">
        <f>ROUNDUP(Table1[[#This Row],[Amount]]/Table1[[#This Row],[Exchange rate]],2)</f>
        <v>495.05</v>
      </c>
    </row>
    <row r="53" spans="2:7">
      <c r="B53" s="25" t="s">
        <v>164</v>
      </c>
      <c r="C53" s="32">
        <v>46034</v>
      </c>
      <c r="D53" s="25">
        <v>462.15</v>
      </c>
      <c r="E53" s="25" t="s">
        <v>124</v>
      </c>
      <c r="F53" s="25" cm="1">
        <f t="array" ref="F53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1</v>
      </c>
      <c r="G53" s="25">
        <f>ROUNDUP(Table1[[#This Row],[Amount]]/Table1[[#This Row],[Exchange rate]],2)</f>
        <v>462.15</v>
      </c>
    </row>
    <row r="54" spans="2:7">
      <c r="B54" s="39" t="s">
        <v>165</v>
      </c>
      <c r="C54" s="40">
        <v>46034</v>
      </c>
      <c r="D54" s="39">
        <v>342.99</v>
      </c>
      <c r="E54" s="39" t="s">
        <v>107</v>
      </c>
      <c r="F54" s="39" cm="1">
        <f t="array" ref="F54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0.57455000000000001</v>
      </c>
      <c r="G54" s="39">
        <f>ROUNDUP(Table1[[#This Row],[Amount]]/Table1[[#This Row],[Exchange rate]],2)</f>
        <v>596.98</v>
      </c>
    </row>
    <row r="55" spans="2:7">
      <c r="B55" s="25" t="s">
        <v>166</v>
      </c>
      <c r="C55" s="32">
        <v>46034</v>
      </c>
      <c r="D55" s="25">
        <v>454.94</v>
      </c>
      <c r="E55" s="25" t="s">
        <v>124</v>
      </c>
      <c r="F55" s="25" cm="1">
        <f t="array" ref="F55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1</v>
      </c>
      <c r="G55" s="25">
        <f>ROUNDUP(Table1[[#This Row],[Amount]]/Table1[[#This Row],[Exchange rate]],2)</f>
        <v>454.94</v>
      </c>
    </row>
    <row r="56" spans="2:7">
      <c r="B56" s="39" t="s">
        <v>167</v>
      </c>
      <c r="C56" s="40">
        <v>46035</v>
      </c>
      <c r="D56" s="39">
        <v>464.87</v>
      </c>
      <c r="E56" s="39" t="s">
        <v>109</v>
      </c>
      <c r="F56" s="39" cm="1">
        <f t="array" ref="F56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0.49299999999999999</v>
      </c>
      <c r="G56" s="39">
        <f>ROUNDUP(Table1[[#This Row],[Amount]]/Table1[[#This Row],[Exchange rate]],2)</f>
        <v>942.95</v>
      </c>
    </row>
    <row r="57" spans="2:7">
      <c r="B57" s="25" t="s">
        <v>168</v>
      </c>
      <c r="C57" s="32">
        <v>46035</v>
      </c>
      <c r="D57" s="25">
        <v>349.44</v>
      </c>
      <c r="E57" s="25" t="s">
        <v>109</v>
      </c>
      <c r="F57" s="25" cm="1">
        <f t="array" ref="F57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0.49299999999999999</v>
      </c>
      <c r="G57" s="25">
        <f>ROUNDUP(Table1[[#This Row],[Amount]]/Table1[[#This Row],[Exchange rate]],2)</f>
        <v>708.81</v>
      </c>
    </row>
    <row r="58" spans="2:7">
      <c r="B58" s="39" t="s">
        <v>169</v>
      </c>
      <c r="C58" s="40">
        <v>46035</v>
      </c>
      <c r="D58" s="42">
        <v>6216.51</v>
      </c>
      <c r="E58" s="39" t="s">
        <v>110</v>
      </c>
      <c r="F58" s="39" cm="1">
        <f t="array" ref="F58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51.725299999999997</v>
      </c>
      <c r="G58" s="39">
        <f>ROUNDUP(Table1[[#This Row],[Amount]]/Table1[[#This Row],[Exchange rate]],2)</f>
        <v>120.19000000000001</v>
      </c>
    </row>
    <row r="59" spans="2:7">
      <c r="B59" s="25" t="s">
        <v>170</v>
      </c>
      <c r="C59" s="32">
        <v>46035</v>
      </c>
      <c r="D59" s="25">
        <v>453.42</v>
      </c>
      <c r="E59" s="25" t="s">
        <v>124</v>
      </c>
      <c r="F59" s="25" cm="1">
        <f t="array" ref="F59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1</v>
      </c>
      <c r="G59" s="25">
        <f>ROUNDUP(Table1[[#This Row],[Amount]]/Table1[[#This Row],[Exchange rate]],2)</f>
        <v>453.42</v>
      </c>
    </row>
    <row r="60" spans="2:7">
      <c r="B60" s="39" t="s">
        <v>171</v>
      </c>
      <c r="C60" s="40">
        <v>46036</v>
      </c>
      <c r="D60" s="39">
        <v>92.65</v>
      </c>
      <c r="E60" s="39" t="s">
        <v>108</v>
      </c>
      <c r="F60" s="39" cm="1">
        <f t="array" ref="F60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0.85865000000000002</v>
      </c>
      <c r="G60" s="39">
        <f>ROUNDUP(Table1[[#This Row],[Amount]]/Table1[[#This Row],[Exchange rate]],2)</f>
        <v>107.91000000000001</v>
      </c>
    </row>
    <row r="61" spans="2:7">
      <c r="B61" s="25" t="s">
        <v>172</v>
      </c>
      <c r="C61" s="32">
        <v>46036</v>
      </c>
      <c r="D61" s="25">
        <v>105.36</v>
      </c>
      <c r="E61" s="25" t="s">
        <v>124</v>
      </c>
      <c r="F61" s="25" cm="1">
        <f t="array" ref="F61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1</v>
      </c>
      <c r="G61" s="25">
        <f>ROUNDUP(Table1[[#This Row],[Amount]]/Table1[[#This Row],[Exchange rate]],2)</f>
        <v>105.36</v>
      </c>
    </row>
    <row r="62" spans="2:7">
      <c r="B62" s="39" t="s">
        <v>173</v>
      </c>
      <c r="C62" s="40">
        <v>46037</v>
      </c>
      <c r="D62" s="39">
        <v>404.18</v>
      </c>
      <c r="E62" s="39" t="s">
        <v>108</v>
      </c>
      <c r="F62" s="39" cm="1">
        <f t="array" ref="F62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0.85865000000000002</v>
      </c>
      <c r="G62" s="39">
        <f>ROUNDUP(Table1[[#This Row],[Amount]]/Table1[[#This Row],[Exchange rate]],2)</f>
        <v>470.71999999999997</v>
      </c>
    </row>
    <row r="63" spans="2:7">
      <c r="B63" s="25" t="s">
        <v>174</v>
      </c>
      <c r="C63" s="32">
        <v>46037</v>
      </c>
      <c r="D63" s="25">
        <v>481.85</v>
      </c>
      <c r="E63" s="25" t="s">
        <v>108</v>
      </c>
      <c r="F63" s="25" cm="1">
        <f t="array" ref="F63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0.85865000000000002</v>
      </c>
      <c r="G63" s="25">
        <f>ROUNDUP(Table1[[#This Row],[Amount]]/Table1[[#This Row],[Exchange rate]],2)</f>
        <v>561.17999999999995</v>
      </c>
    </row>
    <row r="64" spans="2:7">
      <c r="B64" s="39" t="s">
        <v>175</v>
      </c>
      <c r="C64" s="40">
        <v>46037</v>
      </c>
      <c r="D64" s="39">
        <v>181.31</v>
      </c>
      <c r="E64" s="39" t="s">
        <v>109</v>
      </c>
      <c r="F64" s="39" cm="1">
        <f t="array" ref="F64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0.49270000000000003</v>
      </c>
      <c r="G64" s="39">
        <f>ROUNDUP(Table1[[#This Row],[Amount]]/Table1[[#This Row],[Exchange rate]],2)</f>
        <v>368</v>
      </c>
    </row>
    <row r="65" spans="2:7">
      <c r="B65" s="25" t="s">
        <v>176</v>
      </c>
      <c r="C65" s="32">
        <v>46037</v>
      </c>
      <c r="D65" s="25">
        <v>279.57</v>
      </c>
      <c r="E65" s="25" t="s">
        <v>108</v>
      </c>
      <c r="F65" s="25" cm="1">
        <f t="array" ref="F65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0.85865000000000002</v>
      </c>
      <c r="G65" s="25">
        <f>ROUNDUP(Table1[[#This Row],[Amount]]/Table1[[#This Row],[Exchange rate]],2)</f>
        <v>325.59999999999997</v>
      </c>
    </row>
    <row r="66" spans="2:7">
      <c r="B66" s="39" t="s">
        <v>177</v>
      </c>
      <c r="C66" s="40">
        <v>46037</v>
      </c>
      <c r="D66" s="42">
        <v>17309.63</v>
      </c>
      <c r="E66" s="39" t="s">
        <v>110</v>
      </c>
      <c r="F66" s="39" cm="1">
        <f t="array" ref="F66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51.746899999999997</v>
      </c>
      <c r="G66" s="39">
        <f>ROUNDUP(Table1[[#This Row],[Amount]]/Table1[[#This Row],[Exchange rate]],2)</f>
        <v>334.51</v>
      </c>
    </row>
    <row r="67" spans="2:7">
      <c r="B67" s="25" t="s">
        <v>178</v>
      </c>
      <c r="C67" s="32">
        <v>46038</v>
      </c>
      <c r="D67" s="25">
        <v>421.71</v>
      </c>
      <c r="E67" s="25" t="s">
        <v>124</v>
      </c>
      <c r="F67" s="25" cm="1">
        <f t="array" ref="F67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1</v>
      </c>
      <c r="G67" s="25">
        <f>ROUNDUP(Table1[[#This Row],[Amount]]/Table1[[#This Row],[Exchange rate]],2)</f>
        <v>421.71</v>
      </c>
    </row>
    <row r="68" spans="2:7">
      <c r="B68" s="39" t="s">
        <v>179</v>
      </c>
      <c r="C68" s="40">
        <v>46038</v>
      </c>
      <c r="D68" s="39">
        <v>289.91000000000003</v>
      </c>
      <c r="E68" s="39" t="s">
        <v>109</v>
      </c>
      <c r="F68" s="39" cm="1">
        <f t="array" ref="F68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0.49504999999999999</v>
      </c>
      <c r="G68" s="39">
        <f>ROUNDUP(Table1[[#This Row],[Amount]]/Table1[[#This Row],[Exchange rate]],2)</f>
        <v>585.62</v>
      </c>
    </row>
    <row r="69" spans="2:7">
      <c r="B69" s="25" t="s">
        <v>180</v>
      </c>
      <c r="C69" s="32">
        <v>46038</v>
      </c>
      <c r="D69" s="41">
        <v>25099.38</v>
      </c>
      <c r="E69" s="25" t="s">
        <v>110</v>
      </c>
      <c r="F69" s="25" cm="1">
        <f t="array" ref="F69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51.87</v>
      </c>
      <c r="G69" s="25">
        <f>ROUNDUP(Table1[[#This Row],[Amount]]/Table1[[#This Row],[Exchange rate]],2)</f>
        <v>483.9</v>
      </c>
    </row>
    <row r="70" spans="2:7">
      <c r="B70" s="39" t="s">
        <v>181</v>
      </c>
      <c r="C70" s="40">
        <v>46038</v>
      </c>
      <c r="D70" s="42">
        <v>30007.439999999999</v>
      </c>
      <c r="E70" s="39" t="s">
        <v>110</v>
      </c>
      <c r="F70" s="39" cm="1">
        <f t="array" ref="F70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51.87</v>
      </c>
      <c r="G70" s="39">
        <f>ROUNDUP(Table1[[#This Row],[Amount]]/Table1[[#This Row],[Exchange rate]],2)</f>
        <v>578.52</v>
      </c>
    </row>
    <row r="71" spans="2:7">
      <c r="B71" s="25" t="s">
        <v>182</v>
      </c>
      <c r="C71" s="32">
        <v>46038</v>
      </c>
      <c r="D71" s="25">
        <v>327.61</v>
      </c>
      <c r="E71" s="25" t="s">
        <v>109</v>
      </c>
      <c r="F71" s="25" cm="1">
        <f t="array" ref="F71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0.49504999999999999</v>
      </c>
      <c r="G71" s="25">
        <f>ROUNDUP(Table1[[#This Row],[Amount]]/Table1[[#This Row],[Exchange rate]],2)</f>
        <v>661.78</v>
      </c>
    </row>
    <row r="72" spans="2:7">
      <c r="B72" s="39" t="s">
        <v>183</v>
      </c>
      <c r="C72" s="40">
        <v>46039</v>
      </c>
      <c r="D72" s="42">
        <v>28752.3</v>
      </c>
      <c r="E72" s="39" t="s">
        <v>110</v>
      </c>
      <c r="F72" s="39" cm="1">
        <f t="array" ref="F72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51.87</v>
      </c>
      <c r="G72" s="39">
        <f>ROUNDUP(Table1[[#This Row],[Amount]]/Table1[[#This Row],[Exchange rate]],2)</f>
        <v>554.31999999999994</v>
      </c>
    </row>
    <row r="73" spans="2:7">
      <c r="B73" s="25" t="s">
        <v>184</v>
      </c>
      <c r="C73" s="32">
        <v>46039</v>
      </c>
      <c r="D73" s="25">
        <v>258.17</v>
      </c>
      <c r="E73" s="25" t="s">
        <v>108</v>
      </c>
      <c r="F73" s="25" cm="1">
        <f t="array" ref="F73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0.85755000000000003</v>
      </c>
      <c r="G73" s="25">
        <f>ROUNDUP(Table1[[#This Row],[Amount]]/Table1[[#This Row],[Exchange rate]],2)</f>
        <v>301.06</v>
      </c>
    </row>
    <row r="74" spans="2:7">
      <c r="B74" s="39" t="s">
        <v>185</v>
      </c>
      <c r="C74" s="40">
        <v>46039</v>
      </c>
      <c r="D74" s="42">
        <v>12783.39</v>
      </c>
      <c r="E74" s="39" t="s">
        <v>110</v>
      </c>
      <c r="F74" s="39" cm="1">
        <f t="array" ref="F74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51.87</v>
      </c>
      <c r="G74" s="39">
        <f>ROUNDUP(Table1[[#This Row],[Amount]]/Table1[[#This Row],[Exchange rate]],2)</f>
        <v>246.45999999999998</v>
      </c>
    </row>
    <row r="75" spans="2:7">
      <c r="B75" s="25" t="s">
        <v>186</v>
      </c>
      <c r="C75" s="32">
        <v>46039</v>
      </c>
      <c r="D75" s="41">
        <v>8637.5</v>
      </c>
      <c r="E75" s="25" t="s">
        <v>110</v>
      </c>
      <c r="F75" s="25" cm="1">
        <f t="array" ref="F75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51.87</v>
      </c>
      <c r="G75" s="25">
        <f>ROUNDUP(Table1[[#This Row],[Amount]]/Table1[[#This Row],[Exchange rate]],2)</f>
        <v>166.53</v>
      </c>
    </row>
    <row r="76" spans="2:7">
      <c r="B76" s="39" t="s">
        <v>187</v>
      </c>
      <c r="C76" s="40">
        <v>46040</v>
      </c>
      <c r="D76" s="39">
        <v>337.61</v>
      </c>
      <c r="E76" s="39" t="s">
        <v>109</v>
      </c>
      <c r="F76" s="39" cm="1">
        <f t="array" ref="F76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0.49504999999999999</v>
      </c>
      <c r="G76" s="39">
        <f>ROUNDUP(Table1[[#This Row],[Amount]]/Table1[[#This Row],[Exchange rate]],2)</f>
        <v>681.98</v>
      </c>
    </row>
    <row r="77" spans="2:7">
      <c r="B77" s="25" t="s">
        <v>188</v>
      </c>
      <c r="C77" s="32">
        <v>46040</v>
      </c>
      <c r="D77" s="25">
        <v>96.22</v>
      </c>
      <c r="E77" s="25" t="s">
        <v>124</v>
      </c>
      <c r="F77" s="25" cm="1">
        <f t="array" ref="F77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1</v>
      </c>
      <c r="G77" s="25">
        <f>ROUNDUP(Table1[[#This Row],[Amount]]/Table1[[#This Row],[Exchange rate]],2)</f>
        <v>96.22</v>
      </c>
    </row>
    <row r="78" spans="2:7">
      <c r="B78" s="39" t="s">
        <v>189</v>
      </c>
      <c r="C78" s="40">
        <v>46040</v>
      </c>
      <c r="D78" s="39">
        <v>461.52</v>
      </c>
      <c r="E78" s="39" t="s">
        <v>107</v>
      </c>
      <c r="F78" s="39" cm="1">
        <f t="array" ref="F78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0.57445000000000002</v>
      </c>
      <c r="G78" s="39">
        <f>ROUNDUP(Table1[[#This Row],[Amount]]/Table1[[#This Row],[Exchange rate]],2)</f>
        <v>803.42</v>
      </c>
    </row>
    <row r="79" spans="2:7">
      <c r="B79" s="25" t="s">
        <v>190</v>
      </c>
      <c r="C79" s="32">
        <v>46040</v>
      </c>
      <c r="D79" s="25">
        <v>89.54</v>
      </c>
      <c r="E79" s="25" t="s">
        <v>109</v>
      </c>
      <c r="F79" s="25" cm="1">
        <f t="array" ref="F79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0.49504999999999999</v>
      </c>
      <c r="G79" s="25">
        <f>ROUNDUP(Table1[[#This Row],[Amount]]/Table1[[#This Row],[Exchange rate]],2)</f>
        <v>180.88</v>
      </c>
    </row>
    <row r="80" spans="2:7">
      <c r="B80" s="39" t="s">
        <v>191</v>
      </c>
      <c r="C80" s="40">
        <v>46040</v>
      </c>
      <c r="D80" s="39">
        <v>261.89</v>
      </c>
      <c r="E80" s="39" t="s">
        <v>107</v>
      </c>
      <c r="F80" s="39" cm="1">
        <f t="array" ref="F80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0.57445000000000002</v>
      </c>
      <c r="G80" s="39">
        <f>ROUNDUP(Table1[[#This Row],[Amount]]/Table1[[#This Row],[Exchange rate]],2)</f>
        <v>455.9</v>
      </c>
    </row>
    <row r="81" spans="2:7">
      <c r="B81" s="25" t="s">
        <v>192</v>
      </c>
      <c r="C81" s="32">
        <v>46040</v>
      </c>
      <c r="D81" s="41">
        <v>22923.52</v>
      </c>
      <c r="E81" s="25" t="s">
        <v>110</v>
      </c>
      <c r="F81" s="25" cm="1">
        <f t="array" ref="F81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51.87</v>
      </c>
      <c r="G81" s="25">
        <f>ROUNDUP(Table1[[#This Row],[Amount]]/Table1[[#This Row],[Exchange rate]],2)</f>
        <v>441.95</v>
      </c>
    </row>
    <row r="82" spans="2:7">
      <c r="B82" s="39" t="s">
        <v>193</v>
      </c>
      <c r="C82" s="40">
        <v>46041</v>
      </c>
      <c r="D82" s="39">
        <v>174.82</v>
      </c>
      <c r="E82" s="39" t="s">
        <v>124</v>
      </c>
      <c r="F82" s="39" cm="1">
        <f t="array" ref="F82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1</v>
      </c>
      <c r="G82" s="39">
        <f>ROUNDUP(Table1[[#This Row],[Amount]]/Table1[[#This Row],[Exchange rate]],2)</f>
        <v>174.82</v>
      </c>
    </row>
    <row r="83" spans="2:7">
      <c r="B83" s="25" t="s">
        <v>194</v>
      </c>
      <c r="C83" s="32">
        <v>46041</v>
      </c>
      <c r="D83" s="25">
        <v>76.55</v>
      </c>
      <c r="E83" s="25" t="s">
        <v>124</v>
      </c>
      <c r="F83" s="25" cm="1">
        <f t="array" ref="F83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1</v>
      </c>
      <c r="G83" s="25">
        <f>ROUNDUP(Table1[[#This Row],[Amount]]/Table1[[#This Row],[Exchange rate]],2)</f>
        <v>76.55</v>
      </c>
    </row>
    <row r="84" spans="2:7">
      <c r="B84" s="39" t="s">
        <v>195</v>
      </c>
      <c r="C84" s="40">
        <v>46041</v>
      </c>
      <c r="D84" s="42">
        <v>5412.95</v>
      </c>
      <c r="E84" s="39" t="s">
        <v>110</v>
      </c>
      <c r="F84" s="39" cm="1">
        <f t="array" ref="F84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51.87</v>
      </c>
      <c r="G84" s="39">
        <f>ROUNDUP(Table1[[#This Row],[Amount]]/Table1[[#This Row],[Exchange rate]],2)</f>
        <v>104.36</v>
      </c>
    </row>
    <row r="85" spans="2:7">
      <c r="B85" s="25" t="s">
        <v>196</v>
      </c>
      <c r="C85" s="32">
        <v>46042</v>
      </c>
      <c r="D85" s="25">
        <v>447.79</v>
      </c>
      <c r="E85" s="25" t="s">
        <v>108</v>
      </c>
      <c r="F85" s="25" cm="1">
        <f t="array" ref="F85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0.85755000000000003</v>
      </c>
      <c r="G85" s="25">
        <f>ROUNDUP(Table1[[#This Row],[Amount]]/Table1[[#This Row],[Exchange rate]],2)</f>
        <v>522.17999999999995</v>
      </c>
    </row>
    <row r="86" spans="2:7">
      <c r="B86" s="39" t="s">
        <v>197</v>
      </c>
      <c r="C86" s="40">
        <v>46042</v>
      </c>
      <c r="D86" s="39">
        <v>201.64</v>
      </c>
      <c r="E86" s="39" t="s">
        <v>108</v>
      </c>
      <c r="F86" s="39" cm="1">
        <f t="array" ref="F86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0.85755000000000003</v>
      </c>
      <c r="G86" s="39">
        <f>ROUNDUP(Table1[[#This Row],[Amount]]/Table1[[#This Row],[Exchange rate]],2)</f>
        <v>235.14</v>
      </c>
    </row>
    <row r="87" spans="2:7">
      <c r="B87" s="25" t="s">
        <v>198</v>
      </c>
      <c r="C87" s="32">
        <v>46042</v>
      </c>
      <c r="D87" s="25">
        <v>299.19</v>
      </c>
      <c r="E87" s="25" t="s">
        <v>107</v>
      </c>
      <c r="F87" s="25" cm="1">
        <f t="array" ref="F87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0.57445000000000002</v>
      </c>
      <c r="G87" s="25">
        <f>ROUNDUP(Table1[[#This Row],[Amount]]/Table1[[#This Row],[Exchange rate]],2)</f>
        <v>520.83000000000004</v>
      </c>
    </row>
    <row r="88" spans="2:7">
      <c r="B88" s="39" t="s">
        <v>199</v>
      </c>
      <c r="C88" s="40">
        <v>46042</v>
      </c>
      <c r="D88" s="39">
        <v>356.02</v>
      </c>
      <c r="E88" s="39" t="s">
        <v>124</v>
      </c>
      <c r="F88" s="39" cm="1">
        <f t="array" ref="F88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1</v>
      </c>
      <c r="G88" s="39">
        <f>ROUNDUP(Table1[[#This Row],[Amount]]/Table1[[#This Row],[Exchange rate]],2)</f>
        <v>356.02</v>
      </c>
    </row>
    <row r="89" spans="2:7">
      <c r="B89" s="25" t="s">
        <v>200</v>
      </c>
      <c r="C89" s="32">
        <v>46043</v>
      </c>
      <c r="D89" s="41">
        <v>13411.86</v>
      </c>
      <c r="E89" s="25" t="s">
        <v>110</v>
      </c>
      <c r="F89" s="25" cm="1">
        <f t="array" ref="F89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51.87</v>
      </c>
      <c r="G89" s="25">
        <f>ROUNDUP(Table1[[#This Row],[Amount]]/Table1[[#This Row],[Exchange rate]],2)</f>
        <v>258.57</v>
      </c>
    </row>
    <row r="90" spans="2:7">
      <c r="B90" s="39" t="s">
        <v>201</v>
      </c>
      <c r="C90" s="40">
        <v>46043</v>
      </c>
      <c r="D90" s="42">
        <v>4341.6000000000004</v>
      </c>
      <c r="E90" s="39" t="s">
        <v>110</v>
      </c>
      <c r="F90" s="39" cm="1">
        <f t="array" ref="F90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51.87</v>
      </c>
      <c r="G90" s="39">
        <f>ROUNDUP(Table1[[#This Row],[Amount]]/Table1[[#This Row],[Exchange rate]],2)</f>
        <v>83.710000000000008</v>
      </c>
    </row>
    <row r="91" spans="2:7">
      <c r="B91" s="25" t="s">
        <v>202</v>
      </c>
      <c r="C91" s="32">
        <v>46043</v>
      </c>
      <c r="D91" s="25">
        <v>363.02</v>
      </c>
      <c r="E91" s="25" t="s">
        <v>109</v>
      </c>
      <c r="F91" s="25" cm="1">
        <f t="array" ref="F91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0.49504999999999999</v>
      </c>
      <c r="G91" s="25">
        <f>ROUNDUP(Table1[[#This Row],[Amount]]/Table1[[#This Row],[Exchange rate]],2)</f>
        <v>733.3</v>
      </c>
    </row>
    <row r="92" spans="2:7">
      <c r="B92" s="39" t="s">
        <v>203</v>
      </c>
      <c r="C92" s="40">
        <v>46043</v>
      </c>
      <c r="D92" s="39">
        <v>379.95</v>
      </c>
      <c r="E92" s="39" t="s">
        <v>108</v>
      </c>
      <c r="F92" s="39" cm="1">
        <f t="array" ref="F92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0.85755000000000003</v>
      </c>
      <c r="G92" s="39">
        <f>ROUNDUP(Table1[[#This Row],[Amount]]/Table1[[#This Row],[Exchange rate]],2)</f>
        <v>443.07</v>
      </c>
    </row>
    <row r="93" spans="2:7">
      <c r="B93" s="25" t="s">
        <v>204</v>
      </c>
      <c r="C93" s="32">
        <v>46043</v>
      </c>
      <c r="D93" s="25">
        <v>494.88</v>
      </c>
      <c r="E93" s="25" t="s">
        <v>107</v>
      </c>
      <c r="F93" s="25" cm="1">
        <f t="array" ref="F93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0.57445000000000002</v>
      </c>
      <c r="G93" s="25">
        <f>ROUNDUP(Table1[[#This Row],[Amount]]/Table1[[#This Row],[Exchange rate]],2)</f>
        <v>861.49</v>
      </c>
    </row>
    <row r="94" spans="2:7">
      <c r="B94" s="39" t="s">
        <v>205</v>
      </c>
      <c r="C94" s="40">
        <v>46043</v>
      </c>
      <c r="D94" s="39">
        <v>461.77</v>
      </c>
      <c r="E94" s="39" t="s">
        <v>124</v>
      </c>
      <c r="F94" s="39" cm="1">
        <f t="array" ref="F94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1</v>
      </c>
      <c r="G94" s="39">
        <f>ROUNDUP(Table1[[#This Row],[Amount]]/Table1[[#This Row],[Exchange rate]],2)</f>
        <v>461.77</v>
      </c>
    </row>
    <row r="95" spans="2:7">
      <c r="B95" s="25" t="s">
        <v>206</v>
      </c>
      <c r="C95" s="32">
        <v>46044</v>
      </c>
      <c r="D95" s="41">
        <v>19278.63</v>
      </c>
      <c r="E95" s="25" t="s">
        <v>110</v>
      </c>
      <c r="F95" s="25" cm="1">
        <f t="array" ref="F95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51.87</v>
      </c>
      <c r="G95" s="25">
        <f>ROUNDUP(Table1[[#This Row],[Amount]]/Table1[[#This Row],[Exchange rate]],2)</f>
        <v>371.68</v>
      </c>
    </row>
    <row r="96" spans="2:7">
      <c r="B96" s="39" t="s">
        <v>207</v>
      </c>
      <c r="C96" s="40">
        <v>46044</v>
      </c>
      <c r="D96" s="39">
        <v>371.32</v>
      </c>
      <c r="E96" s="39" t="s">
        <v>109</v>
      </c>
      <c r="F96" s="39" cm="1">
        <f t="array" ref="F96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0.49504999999999999</v>
      </c>
      <c r="G96" s="39">
        <f>ROUNDUP(Table1[[#This Row],[Amount]]/Table1[[#This Row],[Exchange rate]],2)</f>
        <v>750.06999999999994</v>
      </c>
    </row>
    <row r="97" spans="2:7">
      <c r="B97" s="25" t="s">
        <v>208</v>
      </c>
      <c r="C97" s="32">
        <v>46044</v>
      </c>
      <c r="D97" s="25">
        <v>84.49</v>
      </c>
      <c r="E97" s="25" t="s">
        <v>109</v>
      </c>
      <c r="F97" s="25" cm="1">
        <f t="array" ref="F97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0.49504999999999999</v>
      </c>
      <c r="G97" s="25">
        <f>ROUNDUP(Table1[[#This Row],[Amount]]/Table1[[#This Row],[Exchange rate]],2)</f>
        <v>170.67</v>
      </c>
    </row>
    <row r="98" spans="2:7">
      <c r="B98" s="39" t="s">
        <v>209</v>
      </c>
      <c r="C98" s="40">
        <v>46044</v>
      </c>
      <c r="D98" s="42">
        <v>30239.360000000001</v>
      </c>
      <c r="E98" s="39" t="s">
        <v>110</v>
      </c>
      <c r="F98" s="39" cm="1">
        <f t="array" ref="F98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51.87</v>
      </c>
      <c r="G98" s="39">
        <f>ROUNDUP(Table1[[#This Row],[Amount]]/Table1[[#This Row],[Exchange rate]],2)</f>
        <v>582.99</v>
      </c>
    </row>
    <row r="99" spans="2:7">
      <c r="B99" s="25" t="s">
        <v>210</v>
      </c>
      <c r="C99" s="32">
        <v>46045</v>
      </c>
      <c r="D99" s="25">
        <v>249.58</v>
      </c>
      <c r="E99" s="25" t="s">
        <v>107</v>
      </c>
      <c r="F99" s="25" cm="1">
        <f t="array" ref="F99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0.59145000000000003</v>
      </c>
      <c r="G99" s="25">
        <f>ROUNDUP(Table1[[#This Row],[Amount]]/Table1[[#This Row],[Exchange rate]],2)</f>
        <v>421.98</v>
      </c>
    </row>
    <row r="100" spans="2:7">
      <c r="B100" s="39" t="s">
        <v>211</v>
      </c>
      <c r="C100" s="40">
        <v>46045</v>
      </c>
      <c r="D100" s="42">
        <v>18889</v>
      </c>
      <c r="E100" s="39" t="s">
        <v>110</v>
      </c>
      <c r="F100" s="39" cm="1">
        <f t="array" ref="F100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54.188699999999997</v>
      </c>
      <c r="G100" s="39">
        <f>ROUNDUP(Table1[[#This Row],[Amount]]/Table1[[#This Row],[Exchange rate]],2)</f>
        <v>348.58</v>
      </c>
    </row>
    <row r="101" spans="2:7">
      <c r="B101" s="25" t="s">
        <v>212</v>
      </c>
      <c r="C101" s="32">
        <v>46045</v>
      </c>
      <c r="D101" s="41">
        <v>36861.129999999997</v>
      </c>
      <c r="E101" s="25" t="s">
        <v>110</v>
      </c>
      <c r="F101" s="25" cm="1">
        <f t="array" ref="F101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54.188699999999997</v>
      </c>
      <c r="G101" s="25">
        <f>ROUNDUP(Table1[[#This Row],[Amount]]/Table1[[#This Row],[Exchange rate]],2)</f>
        <v>680.24</v>
      </c>
    </row>
    <row r="102" spans="2:7">
      <c r="B102" s="39" t="s">
        <v>213</v>
      </c>
      <c r="C102" s="40">
        <v>46046</v>
      </c>
      <c r="D102" s="39">
        <v>215.18</v>
      </c>
      <c r="E102" s="39" t="s">
        <v>109</v>
      </c>
      <c r="F102" s="39" cm="1">
        <f t="array" ref="F102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0.50339999999999996</v>
      </c>
      <c r="G102" s="39">
        <f>ROUNDUP(Table1[[#This Row],[Amount]]/Table1[[#This Row],[Exchange rate]],2)</f>
        <v>427.46</v>
      </c>
    </row>
    <row r="103" spans="2:7">
      <c r="B103" s="25" t="s">
        <v>214</v>
      </c>
      <c r="C103" s="32">
        <v>46046</v>
      </c>
      <c r="D103" s="25">
        <v>377.58</v>
      </c>
      <c r="E103" s="25" t="s">
        <v>107</v>
      </c>
      <c r="F103" s="25" cm="1">
        <f t="array" ref="F103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0.59145000000000003</v>
      </c>
      <c r="G103" s="25">
        <f>ROUNDUP(Table1[[#This Row],[Amount]]/Table1[[#This Row],[Exchange rate]],2)</f>
        <v>638.4</v>
      </c>
    </row>
    <row r="104" spans="2:7">
      <c r="B104" s="39" t="s">
        <v>215</v>
      </c>
      <c r="C104" s="40">
        <v>46046</v>
      </c>
      <c r="D104" s="42">
        <v>14293</v>
      </c>
      <c r="E104" s="39" t="s">
        <v>110</v>
      </c>
      <c r="F104" s="39" cm="1">
        <f t="array" ref="F104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54.188699999999997</v>
      </c>
      <c r="G104" s="39">
        <f>ROUNDUP(Table1[[#This Row],[Amount]]/Table1[[#This Row],[Exchange rate]],2)</f>
        <v>263.77</v>
      </c>
    </row>
    <row r="105" spans="2:7">
      <c r="B105" s="25" t="s">
        <v>216</v>
      </c>
      <c r="C105" s="32">
        <v>46046</v>
      </c>
      <c r="D105" s="25">
        <v>338.06</v>
      </c>
      <c r="E105" s="25" t="s">
        <v>124</v>
      </c>
      <c r="F105" s="25" cm="1">
        <f t="array" ref="F105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1</v>
      </c>
      <c r="G105" s="25">
        <f>ROUNDUP(Table1[[#This Row],[Amount]]/Table1[[#This Row],[Exchange rate]],2)</f>
        <v>338.06</v>
      </c>
    </row>
    <row r="106" spans="2:7">
      <c r="B106" s="39" t="s">
        <v>217</v>
      </c>
      <c r="C106" s="40">
        <v>46047</v>
      </c>
      <c r="D106" s="39">
        <v>331.15</v>
      </c>
      <c r="E106" s="39" t="s">
        <v>107</v>
      </c>
      <c r="F106" s="39" cm="1">
        <f t="array" ref="F106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0.59145000000000003</v>
      </c>
      <c r="G106" s="39">
        <f>ROUNDUP(Table1[[#This Row],[Amount]]/Table1[[#This Row],[Exchange rate]],2)</f>
        <v>559.9</v>
      </c>
    </row>
    <row r="107" spans="2:7">
      <c r="B107" s="25" t="s">
        <v>218</v>
      </c>
      <c r="C107" s="32">
        <v>46047</v>
      </c>
      <c r="D107" s="41">
        <v>17144.55</v>
      </c>
      <c r="E107" s="25" t="s">
        <v>110</v>
      </c>
      <c r="F107" s="25" cm="1">
        <f t="array" ref="F107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54.188699999999997</v>
      </c>
      <c r="G107" s="25">
        <f>ROUNDUP(Table1[[#This Row],[Amount]]/Table1[[#This Row],[Exchange rate]],2)</f>
        <v>316.39</v>
      </c>
    </row>
    <row r="108" spans="2:7">
      <c r="B108" s="39" t="s">
        <v>219</v>
      </c>
      <c r="C108" s="40">
        <v>46047</v>
      </c>
      <c r="D108" s="42">
        <v>36397.68</v>
      </c>
      <c r="E108" s="39" t="s">
        <v>110</v>
      </c>
      <c r="F108" s="39" cm="1">
        <f t="array" ref="F108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54.188699999999997</v>
      </c>
      <c r="G108" s="39">
        <f>ROUNDUP(Table1[[#This Row],[Amount]]/Table1[[#This Row],[Exchange rate]],2)</f>
        <v>671.68999999999994</v>
      </c>
    </row>
    <row r="109" spans="2:7">
      <c r="B109" s="25" t="s">
        <v>220</v>
      </c>
      <c r="C109" s="32">
        <v>46047</v>
      </c>
      <c r="D109" s="25">
        <v>477.04</v>
      </c>
      <c r="E109" s="25" t="s">
        <v>107</v>
      </c>
      <c r="F109" s="25" cm="1">
        <f t="array" ref="F109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0.59145000000000003</v>
      </c>
      <c r="G109" s="25">
        <f>ROUNDUP(Table1[[#This Row],[Amount]]/Table1[[#This Row],[Exchange rate]],2)</f>
        <v>806.56999999999994</v>
      </c>
    </row>
    <row r="110" spans="2:7">
      <c r="B110" s="39" t="s">
        <v>221</v>
      </c>
      <c r="C110" s="40">
        <v>46048</v>
      </c>
      <c r="D110" s="39">
        <v>104.55</v>
      </c>
      <c r="E110" s="39" t="s">
        <v>124</v>
      </c>
      <c r="F110" s="39" cm="1">
        <f t="array" ref="F110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1</v>
      </c>
      <c r="G110" s="39">
        <f>ROUNDUP(Table1[[#This Row],[Amount]]/Table1[[#This Row],[Exchange rate]],2)</f>
        <v>104.55</v>
      </c>
    </row>
    <row r="111" spans="2:7">
      <c r="B111" s="25" t="s">
        <v>222</v>
      </c>
      <c r="C111" s="32">
        <v>46048</v>
      </c>
      <c r="D111" s="25">
        <v>150.24</v>
      </c>
      <c r="E111" s="25" t="s">
        <v>107</v>
      </c>
      <c r="F111" s="25" cm="1">
        <f t="array" ref="F111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0.59145000000000003</v>
      </c>
      <c r="G111" s="25">
        <f>ROUNDUP(Table1[[#This Row],[Amount]]/Table1[[#This Row],[Exchange rate]],2)</f>
        <v>254.01999999999998</v>
      </c>
    </row>
    <row r="112" spans="2:7">
      <c r="B112" s="39" t="s">
        <v>223</v>
      </c>
      <c r="C112" s="40">
        <v>46049</v>
      </c>
      <c r="D112" s="39">
        <v>484.03</v>
      </c>
      <c r="E112" s="39" t="s">
        <v>124</v>
      </c>
      <c r="F112" s="39" cm="1">
        <f t="array" ref="F112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1</v>
      </c>
      <c r="G112" s="39">
        <f>ROUNDUP(Table1[[#This Row],[Amount]]/Table1[[#This Row],[Exchange rate]],2)</f>
        <v>484.03</v>
      </c>
    </row>
    <row r="113" spans="2:7">
      <c r="B113" s="25" t="s">
        <v>224</v>
      </c>
      <c r="C113" s="32">
        <v>46049</v>
      </c>
      <c r="D113" s="25">
        <v>498.77</v>
      </c>
      <c r="E113" s="25" t="s">
        <v>109</v>
      </c>
      <c r="F113" s="25" cm="1">
        <f t="array" ref="F113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0.50339999999999996</v>
      </c>
      <c r="G113" s="25">
        <f>ROUNDUP(Table1[[#This Row],[Amount]]/Table1[[#This Row],[Exchange rate]],2)</f>
        <v>990.81</v>
      </c>
    </row>
    <row r="114" spans="2:7">
      <c r="B114" s="39" t="s">
        <v>225</v>
      </c>
      <c r="C114" s="40">
        <v>46049</v>
      </c>
      <c r="D114" s="39">
        <v>73.19</v>
      </c>
      <c r="E114" s="39" t="s">
        <v>107</v>
      </c>
      <c r="F114" s="39" cm="1">
        <f t="array" ref="F114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0.59145000000000003</v>
      </c>
      <c r="G114" s="39">
        <f>ROUNDUP(Table1[[#This Row],[Amount]]/Table1[[#This Row],[Exchange rate]],2)</f>
        <v>123.75</v>
      </c>
    </row>
    <row r="115" spans="2:7">
      <c r="B115" s="25" t="s">
        <v>226</v>
      </c>
      <c r="C115" s="32">
        <v>46049</v>
      </c>
      <c r="D115" s="41">
        <v>28021.07</v>
      </c>
      <c r="E115" s="25" t="s">
        <v>110</v>
      </c>
      <c r="F115" s="25" cm="1">
        <f t="array" ref="F115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54.188699999999997</v>
      </c>
      <c r="G115" s="25">
        <f>ROUNDUP(Table1[[#This Row],[Amount]]/Table1[[#This Row],[Exchange rate]],2)</f>
        <v>517.11</v>
      </c>
    </row>
    <row r="116" spans="2:7">
      <c r="B116" s="39" t="s">
        <v>227</v>
      </c>
      <c r="C116" s="40">
        <v>46049</v>
      </c>
      <c r="D116" s="39">
        <v>257.39999999999998</v>
      </c>
      <c r="E116" s="39" t="s">
        <v>108</v>
      </c>
      <c r="F116" s="39" cm="1">
        <f t="array" ref="F116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0.86434999999999995</v>
      </c>
      <c r="G116" s="39">
        <f>ROUNDUP(Table1[[#This Row],[Amount]]/Table1[[#This Row],[Exchange rate]],2)</f>
        <v>297.8</v>
      </c>
    </row>
    <row r="117" spans="2:7">
      <c r="B117" s="25" t="s">
        <v>228</v>
      </c>
      <c r="C117" s="32">
        <v>46050</v>
      </c>
      <c r="D117" s="25">
        <v>441.7</v>
      </c>
      <c r="E117" s="25" t="s">
        <v>108</v>
      </c>
      <c r="F117" s="25" cm="1">
        <f t="array" ref="F117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0.86434999999999995</v>
      </c>
      <c r="G117" s="25">
        <f>ROUNDUP(Table1[[#This Row],[Amount]]/Table1[[#This Row],[Exchange rate]],2)</f>
        <v>511.02</v>
      </c>
    </row>
    <row r="118" spans="2:7">
      <c r="B118" s="39" t="s">
        <v>229</v>
      </c>
      <c r="C118" s="40">
        <v>46050</v>
      </c>
      <c r="D118" s="39">
        <v>204.53</v>
      </c>
      <c r="E118" s="39" t="s">
        <v>109</v>
      </c>
      <c r="F118" s="39" cm="1">
        <f t="array" ref="F118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0.50339999999999996</v>
      </c>
      <c r="G118" s="39">
        <f>ROUNDUP(Table1[[#This Row],[Amount]]/Table1[[#This Row],[Exchange rate]],2)</f>
        <v>406.3</v>
      </c>
    </row>
    <row r="119" spans="2:7">
      <c r="B119" s="25" t="s">
        <v>230</v>
      </c>
      <c r="C119" s="32">
        <v>46050</v>
      </c>
      <c r="D119" s="41">
        <v>27296.01</v>
      </c>
      <c r="E119" s="25" t="s">
        <v>110</v>
      </c>
      <c r="F119" s="25" cm="1">
        <f t="array" ref="F119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54.188699999999997</v>
      </c>
      <c r="G119" s="25">
        <f>ROUNDUP(Table1[[#This Row],[Amount]]/Table1[[#This Row],[Exchange rate]],2)</f>
        <v>503.73</v>
      </c>
    </row>
    <row r="120" spans="2:7">
      <c r="B120" s="39" t="s">
        <v>231</v>
      </c>
      <c r="C120" s="40">
        <v>46051</v>
      </c>
      <c r="D120" s="39">
        <v>373.3</v>
      </c>
      <c r="E120" s="39" t="s">
        <v>107</v>
      </c>
      <c r="F120" s="39" cm="1">
        <f t="array" ref="F120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0.59145000000000003</v>
      </c>
      <c r="G120" s="39">
        <f>ROUNDUP(Table1[[#This Row],[Amount]]/Table1[[#This Row],[Exchange rate]],2)</f>
        <v>631.16999999999996</v>
      </c>
    </row>
    <row r="121" spans="2:7">
      <c r="B121" s="25" t="s">
        <v>232</v>
      </c>
      <c r="C121" s="32">
        <v>46051</v>
      </c>
      <c r="D121" s="41">
        <v>24272.6</v>
      </c>
      <c r="E121" s="25" t="s">
        <v>110</v>
      </c>
      <c r="F121" s="25" cm="1">
        <f t="array" ref="F121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54.188699999999997</v>
      </c>
      <c r="G121" s="25">
        <f>ROUNDUP(Table1[[#This Row],[Amount]]/Table1[[#This Row],[Exchange rate]],2)</f>
        <v>447.93</v>
      </c>
    </row>
    <row r="122" spans="2:7">
      <c r="B122" s="39" t="s">
        <v>233</v>
      </c>
      <c r="C122" s="40">
        <v>46051</v>
      </c>
      <c r="D122" s="39">
        <v>374.92</v>
      </c>
      <c r="E122" s="39" t="s">
        <v>124</v>
      </c>
      <c r="F122" s="39" cm="1">
        <f t="array" ref="F122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1</v>
      </c>
      <c r="G122" s="39">
        <f>ROUNDUP(Table1[[#This Row],[Amount]]/Table1[[#This Row],[Exchange rate]],2)</f>
        <v>374.92</v>
      </c>
    </row>
    <row r="123" spans="2:7">
      <c r="B123" s="25" t="s">
        <v>234</v>
      </c>
      <c r="C123" s="32">
        <v>46051</v>
      </c>
      <c r="D123" s="25">
        <v>418.07</v>
      </c>
      <c r="E123" s="25" t="s">
        <v>108</v>
      </c>
      <c r="F123" s="25" cm="1">
        <f t="array" ref="F123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0.86434999999999995</v>
      </c>
      <c r="G123" s="25">
        <f>ROUNDUP(Table1[[#This Row],[Amount]]/Table1[[#This Row],[Exchange rate]],2)</f>
        <v>483.69</v>
      </c>
    </row>
    <row r="124" spans="2:7">
      <c r="B124" s="39" t="s">
        <v>235</v>
      </c>
      <c r="C124" s="40">
        <v>46052</v>
      </c>
      <c r="D124" s="39">
        <v>88.77</v>
      </c>
      <c r="E124" s="39" t="s">
        <v>109</v>
      </c>
      <c r="F124" s="39" cm="1">
        <f t="array" ref="F124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0.50785000000000002</v>
      </c>
      <c r="G124" s="39">
        <f>ROUNDUP(Table1[[#This Row],[Amount]]/Table1[[#This Row],[Exchange rate]],2)</f>
        <v>174.79999999999998</v>
      </c>
    </row>
    <row r="125" spans="2:7">
      <c r="B125" s="25" t="s">
        <v>236</v>
      </c>
      <c r="C125" s="32">
        <v>46052</v>
      </c>
      <c r="D125" s="25">
        <v>280.88</v>
      </c>
      <c r="E125" s="25" t="s">
        <v>109</v>
      </c>
      <c r="F125" s="25" cm="1">
        <f t="array" ref="F125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0.50785000000000002</v>
      </c>
      <c r="G125" s="25">
        <f>ROUNDUP(Table1[[#This Row],[Amount]]/Table1[[#This Row],[Exchange rate]],2)</f>
        <v>553.08000000000004</v>
      </c>
    </row>
    <row r="126" spans="2:7">
      <c r="B126" s="39" t="s">
        <v>237</v>
      </c>
      <c r="C126" s="40">
        <v>46052</v>
      </c>
      <c r="D126" s="39">
        <v>297.02999999999997</v>
      </c>
      <c r="E126" s="39" t="s">
        <v>124</v>
      </c>
      <c r="F126" s="39" cm="1">
        <f t="array" ref="F126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1</v>
      </c>
      <c r="G126" s="39">
        <f>ROUNDUP(Table1[[#This Row],[Amount]]/Table1[[#This Row],[Exchange rate]],2)</f>
        <v>297.02999999999997</v>
      </c>
    </row>
    <row r="127" spans="2:7">
      <c r="B127" s="25" t="s">
        <v>238</v>
      </c>
      <c r="C127" s="32">
        <v>46052</v>
      </c>
      <c r="D127" s="41">
        <v>19059.18</v>
      </c>
      <c r="E127" s="25" t="s">
        <v>110</v>
      </c>
      <c r="F127" s="25" cm="1">
        <f t="array" ref="F127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55.7136</v>
      </c>
      <c r="G127" s="25">
        <f>ROUNDUP(Table1[[#This Row],[Amount]]/Table1[[#This Row],[Exchange rate]],2)</f>
        <v>342.09999999999997</v>
      </c>
    </row>
    <row r="128" spans="2:7">
      <c r="B128" s="39" t="s">
        <v>239</v>
      </c>
      <c r="C128" s="40">
        <v>46053</v>
      </c>
      <c r="D128" s="39">
        <v>411.62</v>
      </c>
      <c r="E128" s="39" t="s">
        <v>124</v>
      </c>
      <c r="F128" s="39" cm="1">
        <f t="array" ref="F128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1</v>
      </c>
      <c r="G128" s="39">
        <f>ROUNDUP(Table1[[#This Row],[Amount]]/Table1[[#This Row],[Exchange rate]],2)</f>
        <v>411.62</v>
      </c>
    </row>
    <row r="129" spans="2:7">
      <c r="B129" s="25" t="s">
        <v>240</v>
      </c>
      <c r="C129" s="32">
        <v>46053</v>
      </c>
      <c r="D129" s="25">
        <v>328.92</v>
      </c>
      <c r="E129" s="25" t="s">
        <v>109</v>
      </c>
      <c r="F129" s="25" cm="1">
        <f t="array" ref="F129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0.50785000000000002</v>
      </c>
      <c r="G129" s="25">
        <f>ROUNDUP(Table1[[#This Row],[Amount]]/Table1[[#This Row],[Exchange rate]],2)</f>
        <v>647.67999999999995</v>
      </c>
    </row>
    <row r="130" spans="2:7">
      <c r="B130" s="39" t="s">
        <v>241</v>
      </c>
      <c r="C130" s="40">
        <v>46053</v>
      </c>
      <c r="D130" s="39">
        <v>357.06</v>
      </c>
      <c r="E130" s="39" t="s">
        <v>124</v>
      </c>
      <c r="F130" s="39" cm="1">
        <f t="array" ref="F130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1</v>
      </c>
      <c r="G130" s="39">
        <f>ROUNDUP(Table1[[#This Row],[Amount]]/Table1[[#This Row],[Exchange rate]],2)</f>
        <v>357.06</v>
      </c>
    </row>
    <row r="131" spans="2:7">
      <c r="B131" s="25" t="s">
        <v>242</v>
      </c>
      <c r="C131" s="32">
        <v>46054</v>
      </c>
      <c r="D131" s="25">
        <v>256.51</v>
      </c>
      <c r="E131" s="25" t="s">
        <v>109</v>
      </c>
      <c r="F131" s="25" cm="1">
        <f t="array" ref="F131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0.50785000000000002</v>
      </c>
      <c r="G131" s="25">
        <f>ROUNDUP(Table1[[#This Row],[Amount]]/Table1[[#This Row],[Exchange rate]],2)</f>
        <v>505.09999999999997</v>
      </c>
    </row>
    <row r="132" spans="2:7">
      <c r="B132" s="39" t="s">
        <v>243</v>
      </c>
      <c r="C132" s="40">
        <v>46054</v>
      </c>
      <c r="D132" s="42">
        <v>11487.28</v>
      </c>
      <c r="E132" s="39" t="s">
        <v>110</v>
      </c>
      <c r="F132" s="39" cm="1">
        <f t="array" ref="F132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55.7136</v>
      </c>
      <c r="G132" s="39">
        <f>ROUNDUP(Table1[[#This Row],[Amount]]/Table1[[#This Row],[Exchange rate]],2)</f>
        <v>206.19</v>
      </c>
    </row>
    <row r="133" spans="2:7">
      <c r="B133" s="25" t="s">
        <v>244</v>
      </c>
      <c r="C133" s="32">
        <v>46054</v>
      </c>
      <c r="D133" s="25">
        <v>128.69999999999999</v>
      </c>
      <c r="E133" s="25" t="s">
        <v>109</v>
      </c>
      <c r="F133" s="25" cm="1">
        <f t="array" ref="F133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0.50785000000000002</v>
      </c>
      <c r="G133" s="25">
        <f>ROUNDUP(Table1[[#This Row],[Amount]]/Table1[[#This Row],[Exchange rate]],2)</f>
        <v>253.42999999999998</v>
      </c>
    </row>
    <row r="134" spans="2:7">
      <c r="B134" s="39" t="s">
        <v>245</v>
      </c>
      <c r="C134" s="40">
        <v>46054</v>
      </c>
      <c r="D134" s="39">
        <v>489.39</v>
      </c>
      <c r="E134" s="39" t="s">
        <v>108</v>
      </c>
      <c r="F134" s="39" cm="1">
        <f t="array" ref="F134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0.86224999999999996</v>
      </c>
      <c r="G134" s="39">
        <f>ROUNDUP(Table1[[#This Row],[Amount]]/Table1[[#This Row],[Exchange rate]],2)</f>
        <v>567.58000000000004</v>
      </c>
    </row>
    <row r="135" spans="2:7">
      <c r="B135" s="25" t="s">
        <v>246</v>
      </c>
      <c r="C135" s="32">
        <v>46055</v>
      </c>
      <c r="D135" s="25">
        <v>214.75</v>
      </c>
      <c r="E135" s="25" t="s">
        <v>124</v>
      </c>
      <c r="F135" s="25" cm="1">
        <f t="array" ref="F135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1</v>
      </c>
      <c r="G135" s="25">
        <f>ROUNDUP(Table1[[#This Row],[Amount]]/Table1[[#This Row],[Exchange rate]],2)</f>
        <v>214.75</v>
      </c>
    </row>
    <row r="136" spans="2:7">
      <c r="B136" s="39" t="s">
        <v>247</v>
      </c>
      <c r="C136" s="40">
        <v>46055</v>
      </c>
      <c r="D136" s="39">
        <v>166.52</v>
      </c>
      <c r="E136" s="39" t="s">
        <v>109</v>
      </c>
      <c r="F136" s="39" cm="1">
        <f t="array" ref="F136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0.50785000000000002</v>
      </c>
      <c r="G136" s="39">
        <f>ROUNDUP(Table1[[#This Row],[Amount]]/Table1[[#This Row],[Exchange rate]],2)</f>
        <v>327.9</v>
      </c>
    </row>
    <row r="137" spans="2:7">
      <c r="B137" s="25" t="s">
        <v>248</v>
      </c>
      <c r="C137" s="32">
        <v>46055</v>
      </c>
      <c r="D137" s="25">
        <v>499.92</v>
      </c>
      <c r="E137" s="25" t="s">
        <v>107</v>
      </c>
      <c r="F137" s="25" cm="1">
        <f t="array" ref="F137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0.60585</v>
      </c>
      <c r="G137" s="25">
        <f>ROUNDUP(Table1[[#This Row],[Amount]]/Table1[[#This Row],[Exchange rate]],2)</f>
        <v>825.16</v>
      </c>
    </row>
    <row r="138" spans="2:7">
      <c r="B138" s="39" t="s">
        <v>249</v>
      </c>
      <c r="C138" s="40">
        <v>46055</v>
      </c>
      <c r="D138" s="39">
        <v>475.31</v>
      </c>
      <c r="E138" s="39" t="s">
        <v>107</v>
      </c>
      <c r="F138" s="39" cm="1">
        <f t="array" ref="F138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0.60585</v>
      </c>
      <c r="G138" s="39">
        <f>ROUNDUP(Table1[[#This Row],[Amount]]/Table1[[#This Row],[Exchange rate]],2)</f>
        <v>784.54</v>
      </c>
    </row>
    <row r="139" spans="2:7">
      <c r="B139" s="25" t="s">
        <v>250</v>
      </c>
      <c r="C139" s="32">
        <v>46056</v>
      </c>
      <c r="D139" s="41">
        <v>8976</v>
      </c>
      <c r="E139" s="25" t="s">
        <v>110</v>
      </c>
      <c r="F139" s="25" cm="1">
        <f t="array" ref="F139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55.7136</v>
      </c>
      <c r="G139" s="25">
        <f>ROUNDUP(Table1[[#This Row],[Amount]]/Table1[[#This Row],[Exchange rate]],2)</f>
        <v>161.10999999999999</v>
      </c>
    </row>
    <row r="140" spans="2:7">
      <c r="B140" s="39" t="s">
        <v>251</v>
      </c>
      <c r="C140" s="40">
        <v>46056</v>
      </c>
      <c r="D140" s="39">
        <v>181.73</v>
      </c>
      <c r="E140" s="39" t="s">
        <v>108</v>
      </c>
      <c r="F140" s="39" cm="1">
        <f t="array" ref="F140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0.86224999999999996</v>
      </c>
      <c r="G140" s="39">
        <f>ROUNDUP(Table1[[#This Row],[Amount]]/Table1[[#This Row],[Exchange rate]],2)</f>
        <v>210.76999999999998</v>
      </c>
    </row>
    <row r="141" spans="2:7">
      <c r="B141" s="25" t="s">
        <v>252</v>
      </c>
      <c r="C141" s="32">
        <v>46056</v>
      </c>
      <c r="D141" s="25">
        <v>191.64</v>
      </c>
      <c r="E141" s="25" t="s">
        <v>108</v>
      </c>
      <c r="F141" s="25" cm="1">
        <f t="array" ref="F141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0.86224999999999996</v>
      </c>
      <c r="G141" s="25">
        <f>ROUNDUP(Table1[[#This Row],[Amount]]/Table1[[#This Row],[Exchange rate]],2)</f>
        <v>222.26</v>
      </c>
    </row>
    <row r="142" spans="2:7">
      <c r="B142" s="39" t="s">
        <v>253</v>
      </c>
      <c r="C142" s="40">
        <v>46056</v>
      </c>
      <c r="D142" s="39">
        <v>85.4</v>
      </c>
      <c r="E142" s="39" t="s">
        <v>109</v>
      </c>
      <c r="F142" s="39" cm="1">
        <f t="array" ref="F142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0.50785000000000002</v>
      </c>
      <c r="G142" s="39">
        <f>ROUNDUP(Table1[[#This Row],[Amount]]/Table1[[#This Row],[Exchange rate]],2)</f>
        <v>168.16</v>
      </c>
    </row>
    <row r="143" spans="2:7">
      <c r="B143" s="25" t="s">
        <v>254</v>
      </c>
      <c r="C143" s="32">
        <v>46056</v>
      </c>
      <c r="D143" s="25">
        <v>168.28</v>
      </c>
      <c r="E143" s="25" t="s">
        <v>108</v>
      </c>
      <c r="F143" s="25" cm="1">
        <f t="array" ref="F143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0.86224999999999996</v>
      </c>
      <c r="G143" s="25">
        <f>ROUNDUP(Table1[[#This Row],[Amount]]/Table1[[#This Row],[Exchange rate]],2)</f>
        <v>195.17</v>
      </c>
    </row>
    <row r="144" spans="2:7">
      <c r="B144" s="39" t="s">
        <v>255</v>
      </c>
      <c r="C144" s="40">
        <v>46057</v>
      </c>
      <c r="D144" s="39">
        <v>361.31</v>
      </c>
      <c r="E144" s="39" t="s">
        <v>109</v>
      </c>
      <c r="F144" s="39" cm="1">
        <f t="array" ref="F144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0.50785000000000002</v>
      </c>
      <c r="G144" s="39">
        <f>ROUNDUP(Table1[[#This Row],[Amount]]/Table1[[#This Row],[Exchange rate]],2)</f>
        <v>711.46</v>
      </c>
    </row>
    <row r="145" spans="2:7">
      <c r="B145" s="25" t="s">
        <v>256</v>
      </c>
      <c r="C145" s="32">
        <v>46057</v>
      </c>
      <c r="D145" s="25">
        <v>477.19</v>
      </c>
      <c r="E145" s="25" t="s">
        <v>109</v>
      </c>
      <c r="F145" s="25" cm="1">
        <f t="array" ref="F145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0.50785000000000002</v>
      </c>
      <c r="G145" s="25">
        <f>ROUNDUP(Table1[[#This Row],[Amount]]/Table1[[#This Row],[Exchange rate]],2)</f>
        <v>939.63</v>
      </c>
    </row>
    <row r="146" spans="2:7">
      <c r="B146" s="39" t="s">
        <v>257</v>
      </c>
      <c r="C146" s="40">
        <v>46057</v>
      </c>
      <c r="D146" s="42">
        <v>5718.68</v>
      </c>
      <c r="E146" s="39" t="s">
        <v>110</v>
      </c>
      <c r="F146" s="39" cm="1">
        <f t="array" ref="F146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55.7136</v>
      </c>
      <c r="G146" s="39">
        <f>ROUNDUP(Table1[[#This Row],[Amount]]/Table1[[#This Row],[Exchange rate]],2)</f>
        <v>102.65</v>
      </c>
    </row>
    <row r="147" spans="2:7">
      <c r="B147" s="25" t="s">
        <v>258</v>
      </c>
      <c r="C147" s="32">
        <v>46058</v>
      </c>
      <c r="D147" s="25">
        <v>379.97</v>
      </c>
      <c r="E147" s="25" t="s">
        <v>109</v>
      </c>
      <c r="F147" s="25" cm="1">
        <f t="array" ref="F147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0.50785000000000002</v>
      </c>
      <c r="G147" s="25">
        <f>ROUNDUP(Table1[[#This Row],[Amount]]/Table1[[#This Row],[Exchange rate]],2)</f>
        <v>748.2</v>
      </c>
    </row>
    <row r="148" spans="2:7">
      <c r="B148" s="39" t="s">
        <v>259</v>
      </c>
      <c r="C148" s="40">
        <v>46058</v>
      </c>
      <c r="D148" s="39">
        <v>451.98</v>
      </c>
      <c r="E148" s="39" t="s">
        <v>107</v>
      </c>
      <c r="F148" s="39" cm="1">
        <f t="array" ref="F148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0.60585</v>
      </c>
      <c r="G148" s="39">
        <f>ROUNDUP(Table1[[#This Row],[Amount]]/Table1[[#This Row],[Exchange rate]],2)</f>
        <v>746.03</v>
      </c>
    </row>
    <row r="149" spans="2:7">
      <c r="B149" s="25" t="s">
        <v>260</v>
      </c>
      <c r="C149" s="32">
        <v>46058</v>
      </c>
      <c r="D149" s="25">
        <v>443.73</v>
      </c>
      <c r="E149" s="25" t="s">
        <v>124</v>
      </c>
      <c r="F149" s="25" cm="1">
        <f t="array" ref="F149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1</v>
      </c>
      <c r="G149" s="25">
        <f>ROUNDUP(Table1[[#This Row],[Amount]]/Table1[[#This Row],[Exchange rate]],2)</f>
        <v>443.73</v>
      </c>
    </row>
    <row r="150" spans="2:7">
      <c r="B150" s="39" t="s">
        <v>261</v>
      </c>
      <c r="C150" s="40">
        <v>46058</v>
      </c>
      <c r="D150" s="39">
        <v>254.44</v>
      </c>
      <c r="E150" s="39" t="s">
        <v>109</v>
      </c>
      <c r="F150" s="39" cm="1">
        <f t="array" ref="F150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0.50785000000000002</v>
      </c>
      <c r="G150" s="39">
        <f>ROUNDUP(Table1[[#This Row],[Amount]]/Table1[[#This Row],[Exchange rate]],2)</f>
        <v>501.02</v>
      </c>
    </row>
    <row r="151" spans="2:7">
      <c r="B151" s="25" t="s">
        <v>262</v>
      </c>
      <c r="C151" s="32">
        <v>46059</v>
      </c>
      <c r="D151" s="25">
        <v>273.17</v>
      </c>
      <c r="E151" s="25" t="s">
        <v>107</v>
      </c>
      <c r="F151" s="25" cm="1">
        <f t="array" ref="F151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0.60585</v>
      </c>
      <c r="G151" s="25">
        <f>ROUNDUP(Table1[[#This Row],[Amount]]/Table1[[#This Row],[Exchange rate]],2)</f>
        <v>450.89</v>
      </c>
    </row>
    <row r="152" spans="2:7">
      <c r="B152" s="39" t="s">
        <v>263</v>
      </c>
      <c r="C152" s="40">
        <v>46059</v>
      </c>
      <c r="D152" s="42">
        <v>19442.45</v>
      </c>
      <c r="E152" s="39" t="s">
        <v>110</v>
      </c>
      <c r="F152" s="39" cm="1">
        <f t="array" ref="F152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55.7136</v>
      </c>
      <c r="G152" s="39">
        <f>ROUNDUP(Table1[[#This Row],[Amount]]/Table1[[#This Row],[Exchange rate]],2)</f>
        <v>348.98</v>
      </c>
    </row>
    <row r="153" spans="2:7">
      <c r="B153" s="25" t="s">
        <v>264</v>
      </c>
      <c r="C153" s="32">
        <v>46059</v>
      </c>
      <c r="D153" s="25">
        <v>120.49</v>
      </c>
      <c r="E153" s="25" t="s">
        <v>109</v>
      </c>
      <c r="F153" s="25" cm="1">
        <f t="array" ref="F153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0.50785000000000002</v>
      </c>
      <c r="G153" s="25">
        <f>ROUNDUP(Table1[[#This Row],[Amount]]/Table1[[#This Row],[Exchange rate]],2)</f>
        <v>237.26</v>
      </c>
    </row>
    <row r="154" spans="2:7">
      <c r="B154" s="39" t="s">
        <v>265</v>
      </c>
      <c r="C154" s="40">
        <v>46059</v>
      </c>
      <c r="D154" s="39">
        <v>372.48</v>
      </c>
      <c r="E154" s="39" t="s">
        <v>108</v>
      </c>
      <c r="F154" s="39" cm="1">
        <f t="array" ref="F154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0.86224999999999996</v>
      </c>
      <c r="G154" s="39">
        <f>ROUNDUP(Table1[[#This Row],[Amount]]/Table1[[#This Row],[Exchange rate]],2)</f>
        <v>431.99</v>
      </c>
    </row>
    <row r="155" spans="2:7">
      <c r="B155" s="25" t="s">
        <v>266</v>
      </c>
      <c r="C155" s="32">
        <v>46060</v>
      </c>
      <c r="D155" s="25">
        <v>165.79</v>
      </c>
      <c r="E155" s="25" t="s">
        <v>107</v>
      </c>
      <c r="F155" s="25" cm="1">
        <f t="array" ref="F155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0.60585</v>
      </c>
      <c r="G155" s="25">
        <f>ROUNDUP(Table1[[#This Row],[Amount]]/Table1[[#This Row],[Exchange rate]],2)</f>
        <v>273.64999999999998</v>
      </c>
    </row>
    <row r="156" spans="2:7">
      <c r="B156" s="39" t="s">
        <v>267</v>
      </c>
      <c r="C156" s="40">
        <v>46060</v>
      </c>
      <c r="D156" s="39">
        <v>253.69</v>
      </c>
      <c r="E156" s="39" t="s">
        <v>124</v>
      </c>
      <c r="F156" s="39" cm="1">
        <f t="array" ref="F156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1</v>
      </c>
      <c r="G156" s="39">
        <f>ROUNDUP(Table1[[#This Row],[Amount]]/Table1[[#This Row],[Exchange rate]],2)</f>
        <v>253.69</v>
      </c>
    </row>
    <row r="157" spans="2:7">
      <c r="B157" s="25" t="s">
        <v>268</v>
      </c>
      <c r="C157" s="32">
        <v>46060</v>
      </c>
      <c r="D157" s="25">
        <v>202.26</v>
      </c>
      <c r="E157" s="25" t="s">
        <v>108</v>
      </c>
      <c r="F157" s="25" cm="1">
        <f t="array" ref="F157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0.86224999999999996</v>
      </c>
      <c r="G157" s="25">
        <f>ROUNDUP(Table1[[#This Row],[Amount]]/Table1[[#This Row],[Exchange rate]],2)</f>
        <v>234.57999999999998</v>
      </c>
    </row>
    <row r="158" spans="2:7">
      <c r="B158" s="39" t="s">
        <v>269</v>
      </c>
      <c r="C158" s="40">
        <v>46060</v>
      </c>
      <c r="D158" s="39">
        <v>81.8</v>
      </c>
      <c r="E158" s="39" t="s">
        <v>107</v>
      </c>
      <c r="F158" s="39" cm="1">
        <f t="array" ref="F158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0.60585</v>
      </c>
      <c r="G158" s="39">
        <f>ROUNDUP(Table1[[#This Row],[Amount]]/Table1[[#This Row],[Exchange rate]],2)</f>
        <v>135.01999999999998</v>
      </c>
    </row>
    <row r="159" spans="2:7">
      <c r="B159" s="25" t="s">
        <v>270</v>
      </c>
      <c r="C159" s="32">
        <v>46060</v>
      </c>
      <c r="D159" s="25">
        <v>218.13</v>
      </c>
      <c r="E159" s="25" t="s">
        <v>107</v>
      </c>
      <c r="F159" s="25" cm="1">
        <f t="array" ref="F159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0.60585</v>
      </c>
      <c r="G159" s="25">
        <f>ROUNDUP(Table1[[#This Row],[Amount]]/Table1[[#This Row],[Exchange rate]],2)</f>
        <v>360.03999999999996</v>
      </c>
    </row>
    <row r="160" spans="2:7">
      <c r="B160" s="39" t="s">
        <v>271</v>
      </c>
      <c r="C160" s="40">
        <v>46060</v>
      </c>
      <c r="D160" s="39">
        <v>463.46</v>
      </c>
      <c r="E160" s="39" t="s">
        <v>107</v>
      </c>
      <c r="F160" s="39" cm="1">
        <f t="array" ref="F160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0.60585</v>
      </c>
      <c r="G160" s="39">
        <f>ROUNDUP(Table1[[#This Row],[Amount]]/Table1[[#This Row],[Exchange rate]],2)</f>
        <v>764.98</v>
      </c>
    </row>
    <row r="161" spans="2:7">
      <c r="B161" s="25" t="s">
        <v>272</v>
      </c>
      <c r="C161" s="32">
        <v>46061</v>
      </c>
      <c r="D161" s="25">
        <v>170.29</v>
      </c>
      <c r="E161" s="25" t="s">
        <v>124</v>
      </c>
      <c r="F161" s="25" cm="1">
        <f t="array" ref="F161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1</v>
      </c>
      <c r="G161" s="25">
        <f>ROUNDUP(Table1[[#This Row],[Amount]]/Table1[[#This Row],[Exchange rate]],2)</f>
        <v>170.29</v>
      </c>
    </row>
    <row r="162" spans="2:7">
      <c r="B162" s="39" t="s">
        <v>273</v>
      </c>
      <c r="C162" s="40">
        <v>46061</v>
      </c>
      <c r="D162" s="42">
        <v>16569.62</v>
      </c>
      <c r="E162" s="39" t="s">
        <v>110</v>
      </c>
      <c r="F162" s="39" cm="1">
        <f t="array" ref="F162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55.7136</v>
      </c>
      <c r="G162" s="39">
        <f>ROUNDUP(Table1[[#This Row],[Amount]]/Table1[[#This Row],[Exchange rate]],2)</f>
        <v>297.40999999999997</v>
      </c>
    </row>
    <row r="163" spans="2:7">
      <c r="B163" s="25" t="s">
        <v>274</v>
      </c>
      <c r="C163" s="32">
        <v>46061</v>
      </c>
      <c r="D163" s="25">
        <v>94.79</v>
      </c>
      <c r="E163" s="25" t="s">
        <v>107</v>
      </c>
      <c r="F163" s="25" cm="1">
        <f t="array" ref="F163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0.60585</v>
      </c>
      <c r="G163" s="25">
        <f>ROUNDUP(Table1[[#This Row],[Amount]]/Table1[[#This Row],[Exchange rate]],2)</f>
        <v>156.45999999999998</v>
      </c>
    </row>
    <row r="164" spans="2:7">
      <c r="B164" s="39" t="s">
        <v>275</v>
      </c>
      <c r="C164" s="40">
        <v>46062</v>
      </c>
      <c r="D164" s="39">
        <v>392.32</v>
      </c>
      <c r="E164" s="39" t="s">
        <v>107</v>
      </c>
      <c r="F164" s="39" cm="1">
        <f t="array" ref="F164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0.60585</v>
      </c>
      <c r="G164" s="39">
        <f>ROUNDUP(Table1[[#This Row],[Amount]]/Table1[[#This Row],[Exchange rate]],2)</f>
        <v>647.55999999999995</v>
      </c>
    </row>
    <row r="165" spans="2:7">
      <c r="B165" s="25" t="s">
        <v>276</v>
      </c>
      <c r="C165" s="32">
        <v>46062</v>
      </c>
      <c r="D165" s="25">
        <v>358.09</v>
      </c>
      <c r="E165" s="25" t="s">
        <v>108</v>
      </c>
      <c r="F165" s="25" cm="1">
        <f t="array" ref="F165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0.86224999999999996</v>
      </c>
      <c r="G165" s="25">
        <f>ROUNDUP(Table1[[#This Row],[Amount]]/Table1[[#This Row],[Exchange rate]],2)</f>
        <v>415.3</v>
      </c>
    </row>
    <row r="166" spans="2:7">
      <c r="B166" s="39" t="s">
        <v>277</v>
      </c>
      <c r="C166" s="40">
        <v>46062</v>
      </c>
      <c r="D166" s="39">
        <v>400.98</v>
      </c>
      <c r="E166" s="39" t="s">
        <v>108</v>
      </c>
      <c r="F166" s="39" cm="1">
        <f t="array" ref="F166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0.86224999999999996</v>
      </c>
      <c r="G166" s="39">
        <f>ROUNDUP(Table1[[#This Row],[Amount]]/Table1[[#This Row],[Exchange rate]],2)</f>
        <v>465.03999999999996</v>
      </c>
    </row>
    <row r="167" spans="2:7">
      <c r="B167" s="25" t="s">
        <v>278</v>
      </c>
      <c r="C167" s="32">
        <v>46062</v>
      </c>
      <c r="D167" s="25">
        <v>479.1</v>
      </c>
      <c r="E167" s="25" t="s">
        <v>109</v>
      </c>
      <c r="F167" s="25" cm="1">
        <f t="array" ref="F167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0.50785000000000002</v>
      </c>
      <c r="G167" s="25">
        <f>ROUNDUP(Table1[[#This Row],[Amount]]/Table1[[#This Row],[Exchange rate]],2)</f>
        <v>943.39</v>
      </c>
    </row>
    <row r="168" spans="2:7">
      <c r="B168" s="39" t="s">
        <v>279</v>
      </c>
      <c r="C168" s="40">
        <v>46063</v>
      </c>
      <c r="D168" s="39">
        <v>134.02000000000001</v>
      </c>
      <c r="E168" s="39" t="s">
        <v>107</v>
      </c>
      <c r="F168" s="39" cm="1">
        <f t="array" ref="F168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0.60585</v>
      </c>
      <c r="G168" s="39">
        <f>ROUNDUP(Table1[[#This Row],[Amount]]/Table1[[#This Row],[Exchange rate]],2)</f>
        <v>221.20999999999998</v>
      </c>
    </row>
    <row r="169" spans="2:7">
      <c r="B169" s="25" t="s">
        <v>280</v>
      </c>
      <c r="C169" s="32">
        <v>46063</v>
      </c>
      <c r="D169" s="41">
        <v>7663.2</v>
      </c>
      <c r="E169" s="25" t="s">
        <v>110</v>
      </c>
      <c r="F169" s="25" cm="1">
        <f t="array" ref="F169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55.7136</v>
      </c>
      <c r="G169" s="25">
        <f>ROUNDUP(Table1[[#This Row],[Amount]]/Table1[[#This Row],[Exchange rate]],2)</f>
        <v>137.54999999999998</v>
      </c>
    </row>
    <row r="170" spans="2:7">
      <c r="B170" s="39" t="s">
        <v>281</v>
      </c>
      <c r="C170" s="40">
        <v>46063</v>
      </c>
      <c r="D170" s="39">
        <v>422.55</v>
      </c>
      <c r="E170" s="39" t="s">
        <v>109</v>
      </c>
      <c r="F170" s="39" cm="1">
        <f t="array" ref="F170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0.50785000000000002</v>
      </c>
      <c r="G170" s="39">
        <f>ROUNDUP(Table1[[#This Row],[Amount]]/Table1[[#This Row],[Exchange rate]],2)</f>
        <v>832.04</v>
      </c>
    </row>
    <row r="171" spans="2:7">
      <c r="B171" s="25" t="s">
        <v>282</v>
      </c>
      <c r="C171" s="32">
        <v>46063</v>
      </c>
      <c r="D171" s="25">
        <v>432.74</v>
      </c>
      <c r="E171" s="25" t="s">
        <v>108</v>
      </c>
      <c r="F171" s="25" cm="1">
        <f t="array" ref="F171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0.86224999999999996</v>
      </c>
      <c r="G171" s="25">
        <f>ROUNDUP(Table1[[#This Row],[Amount]]/Table1[[#This Row],[Exchange rate]],2)</f>
        <v>501.88</v>
      </c>
    </row>
    <row r="172" spans="2:7">
      <c r="B172" s="39" t="s">
        <v>283</v>
      </c>
      <c r="C172" s="40">
        <v>46063</v>
      </c>
      <c r="D172" s="39">
        <v>314.18</v>
      </c>
      <c r="E172" s="39" t="s">
        <v>109</v>
      </c>
      <c r="F172" s="39" cm="1">
        <f t="array" ref="F172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0.50785000000000002</v>
      </c>
      <c r="G172" s="39">
        <f>ROUNDUP(Table1[[#This Row],[Amount]]/Table1[[#This Row],[Exchange rate]],2)</f>
        <v>618.65</v>
      </c>
    </row>
    <row r="173" spans="2:7">
      <c r="B173" s="25" t="s">
        <v>284</v>
      </c>
      <c r="C173" s="32">
        <v>46064</v>
      </c>
      <c r="D173" s="25">
        <v>107.65</v>
      </c>
      <c r="E173" s="25" t="s">
        <v>107</v>
      </c>
      <c r="F173" s="25" cm="1">
        <f t="array" ref="F173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0.60585</v>
      </c>
      <c r="G173" s="25">
        <f>ROUNDUP(Table1[[#This Row],[Amount]]/Table1[[#This Row],[Exchange rate]],2)</f>
        <v>177.69</v>
      </c>
    </row>
    <row r="174" spans="2:7">
      <c r="B174" s="39" t="s">
        <v>285</v>
      </c>
      <c r="C174" s="40">
        <v>46064</v>
      </c>
      <c r="D174" s="39">
        <v>379.27</v>
      </c>
      <c r="E174" s="39" t="s">
        <v>108</v>
      </c>
      <c r="F174" s="39" cm="1">
        <f t="array" ref="F174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0.86224999999999996</v>
      </c>
      <c r="G174" s="39">
        <f>ROUNDUP(Table1[[#This Row],[Amount]]/Table1[[#This Row],[Exchange rate]],2)</f>
        <v>439.87</v>
      </c>
    </row>
    <row r="175" spans="2:7">
      <c r="B175" s="25" t="s">
        <v>286</v>
      </c>
      <c r="C175" s="32">
        <v>46064</v>
      </c>
      <c r="D175" s="25">
        <v>470.39</v>
      </c>
      <c r="E175" s="25" t="s">
        <v>108</v>
      </c>
      <c r="F175" s="25" cm="1">
        <f t="array" ref="F175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0.86224999999999996</v>
      </c>
      <c r="G175" s="25">
        <f>ROUNDUP(Table1[[#This Row],[Amount]]/Table1[[#This Row],[Exchange rate]],2)</f>
        <v>545.54</v>
      </c>
    </row>
    <row r="176" spans="2:7">
      <c r="B176" s="39" t="s">
        <v>287</v>
      </c>
      <c r="C176" s="40">
        <v>46064</v>
      </c>
      <c r="D176" s="39">
        <v>211.94</v>
      </c>
      <c r="E176" s="39" t="s">
        <v>109</v>
      </c>
      <c r="F176" s="39" cm="1">
        <f t="array" ref="F176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0.50785000000000002</v>
      </c>
      <c r="G176" s="39">
        <f>ROUNDUP(Table1[[#This Row],[Amount]]/Table1[[#This Row],[Exchange rate]],2)</f>
        <v>417.33</v>
      </c>
    </row>
    <row r="177" spans="2:7">
      <c r="B177" s="25" t="s">
        <v>288</v>
      </c>
      <c r="C177" s="32">
        <v>46064</v>
      </c>
      <c r="D177" s="25">
        <v>138</v>
      </c>
      <c r="E177" s="25" t="s">
        <v>124</v>
      </c>
      <c r="F177" s="25" cm="1">
        <f t="array" ref="F177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1</v>
      </c>
      <c r="G177" s="25">
        <f>ROUNDUP(Table1[[#This Row],[Amount]]/Table1[[#This Row],[Exchange rate]],2)</f>
        <v>138</v>
      </c>
    </row>
    <row r="178" spans="2:7">
      <c r="B178" s="39" t="s">
        <v>289</v>
      </c>
      <c r="C178" s="40">
        <v>46065</v>
      </c>
      <c r="D178" s="39">
        <v>93.4</v>
      </c>
      <c r="E178" s="39" t="s">
        <v>108</v>
      </c>
      <c r="F178" s="39" cm="1">
        <f t="array" ref="F178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0.86224999999999996</v>
      </c>
      <c r="G178" s="39">
        <f>ROUNDUP(Table1[[#This Row],[Amount]]/Table1[[#This Row],[Exchange rate]],2)</f>
        <v>108.33</v>
      </c>
    </row>
    <row r="179" spans="2:7">
      <c r="B179" s="25" t="s">
        <v>290</v>
      </c>
      <c r="C179" s="32">
        <v>46065</v>
      </c>
      <c r="D179" s="25">
        <v>340.41</v>
      </c>
      <c r="E179" s="25" t="s">
        <v>108</v>
      </c>
      <c r="F179" s="25" cm="1">
        <f t="array" ref="F179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0.86224999999999996</v>
      </c>
      <c r="G179" s="25">
        <f>ROUNDUP(Table1[[#This Row],[Amount]]/Table1[[#This Row],[Exchange rate]],2)</f>
        <v>394.8</v>
      </c>
    </row>
    <row r="180" spans="2:7">
      <c r="B180" s="39" t="s">
        <v>291</v>
      </c>
      <c r="C180" s="40">
        <v>46066</v>
      </c>
      <c r="D180" s="42">
        <v>8748.51</v>
      </c>
      <c r="E180" s="39" t="s">
        <v>110</v>
      </c>
      <c r="F180" s="39" cm="1">
        <f t="array" ref="F180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54.665799999999997</v>
      </c>
      <c r="G180" s="39">
        <f>ROUNDUP(Table1[[#This Row],[Amount]]/Table1[[#This Row],[Exchange rate]],2)</f>
        <v>160.04</v>
      </c>
    </row>
    <row r="181" spans="2:7">
      <c r="B181" s="25" t="s">
        <v>292</v>
      </c>
      <c r="C181" s="32">
        <v>46066</v>
      </c>
      <c r="D181" s="25">
        <v>398.04</v>
      </c>
      <c r="E181" s="25" t="s">
        <v>124</v>
      </c>
      <c r="F181" s="25" cm="1">
        <f t="array" ref="F181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1</v>
      </c>
      <c r="G181" s="25">
        <f>ROUNDUP(Table1[[#This Row],[Amount]]/Table1[[#This Row],[Exchange rate]],2)</f>
        <v>398.04</v>
      </c>
    </row>
    <row r="182" spans="2:7">
      <c r="B182" s="39" t="s">
        <v>293</v>
      </c>
      <c r="C182" s="40">
        <v>46066</v>
      </c>
      <c r="D182" s="39">
        <v>362.5</v>
      </c>
      <c r="E182" s="39" t="s">
        <v>124</v>
      </c>
      <c r="F182" s="39" cm="1">
        <f t="array" ref="F182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1</v>
      </c>
      <c r="G182" s="39">
        <f>ROUNDUP(Table1[[#This Row],[Amount]]/Table1[[#This Row],[Exchange rate]],2)</f>
        <v>362.5</v>
      </c>
    </row>
    <row r="183" spans="2:7">
      <c r="B183" s="25" t="s">
        <v>294</v>
      </c>
      <c r="C183" s="32">
        <v>46066</v>
      </c>
      <c r="D183" s="25">
        <v>404.51</v>
      </c>
      <c r="E183" s="25" t="s">
        <v>109</v>
      </c>
      <c r="F183" s="25" cm="1">
        <f t="array" ref="F183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0.5081</v>
      </c>
      <c r="G183" s="25">
        <f>ROUNDUP(Table1[[#This Row],[Amount]]/Table1[[#This Row],[Exchange rate]],2)</f>
        <v>796.13</v>
      </c>
    </row>
    <row r="184" spans="2:7">
      <c r="B184" s="39" t="s">
        <v>295</v>
      </c>
      <c r="C184" s="40">
        <v>46066</v>
      </c>
      <c r="D184" s="39">
        <v>369.14</v>
      </c>
      <c r="E184" s="39" t="s">
        <v>107</v>
      </c>
      <c r="F184" s="39" cm="1">
        <f t="array" ref="F184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0.60324999999999995</v>
      </c>
      <c r="G184" s="39">
        <f>ROUNDUP(Table1[[#This Row],[Amount]]/Table1[[#This Row],[Exchange rate]],2)</f>
        <v>611.91999999999996</v>
      </c>
    </row>
    <row r="185" spans="2:7">
      <c r="B185" s="25" t="s">
        <v>296</v>
      </c>
      <c r="C185" s="32">
        <v>46067</v>
      </c>
      <c r="D185" s="25">
        <v>393.07</v>
      </c>
      <c r="E185" s="25" t="s">
        <v>109</v>
      </c>
      <c r="F185" s="25" cm="1">
        <f t="array" ref="F185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0.5081</v>
      </c>
      <c r="G185" s="25">
        <f>ROUNDUP(Table1[[#This Row],[Amount]]/Table1[[#This Row],[Exchange rate]],2)</f>
        <v>773.61</v>
      </c>
    </row>
    <row r="186" spans="2:7">
      <c r="B186" s="39" t="s">
        <v>297</v>
      </c>
      <c r="C186" s="40">
        <v>46067</v>
      </c>
      <c r="D186" s="39">
        <v>453.27</v>
      </c>
      <c r="E186" s="39" t="s">
        <v>109</v>
      </c>
      <c r="F186" s="39" cm="1">
        <f t="array" ref="F186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0.5081</v>
      </c>
      <c r="G186" s="39">
        <f>ROUNDUP(Table1[[#This Row],[Amount]]/Table1[[#This Row],[Exchange rate]],2)</f>
        <v>892.09</v>
      </c>
    </row>
    <row r="187" spans="2:7">
      <c r="B187" s="25" t="s">
        <v>298</v>
      </c>
      <c r="C187" s="32">
        <v>46067</v>
      </c>
      <c r="D187" s="25">
        <v>304.13</v>
      </c>
      <c r="E187" s="25" t="s">
        <v>109</v>
      </c>
      <c r="F187" s="25" cm="1">
        <f t="array" ref="F187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0.5081</v>
      </c>
      <c r="G187" s="25">
        <f>ROUNDUP(Table1[[#This Row],[Amount]]/Table1[[#This Row],[Exchange rate]],2)</f>
        <v>598.56999999999994</v>
      </c>
    </row>
    <row r="188" spans="2:7">
      <c r="B188" s="39" t="s">
        <v>299</v>
      </c>
      <c r="C188" s="40">
        <v>46067</v>
      </c>
      <c r="D188" s="39">
        <v>495.1</v>
      </c>
      <c r="E188" s="39" t="s">
        <v>108</v>
      </c>
      <c r="F188" s="39" cm="1">
        <f t="array" ref="F188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0.85150000000000003</v>
      </c>
      <c r="G188" s="39">
        <f>ROUNDUP(Table1[[#This Row],[Amount]]/Table1[[#This Row],[Exchange rate]],2)</f>
        <v>581.45000000000005</v>
      </c>
    </row>
    <row r="189" spans="2:7">
      <c r="B189" s="25" t="s">
        <v>300</v>
      </c>
      <c r="C189" s="32">
        <v>46067</v>
      </c>
      <c r="D189" s="25">
        <v>349.31</v>
      </c>
      <c r="E189" s="25" t="s">
        <v>107</v>
      </c>
      <c r="F189" s="25" cm="1">
        <f t="array" ref="F189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0.60324999999999995</v>
      </c>
      <c r="G189" s="25">
        <f>ROUNDUP(Table1[[#This Row],[Amount]]/Table1[[#This Row],[Exchange rate]],2)</f>
        <v>579.04999999999995</v>
      </c>
    </row>
    <row r="190" spans="2:7">
      <c r="B190" s="39" t="s">
        <v>301</v>
      </c>
      <c r="C190" s="40">
        <v>46067</v>
      </c>
      <c r="D190" s="39">
        <v>125.35</v>
      </c>
      <c r="E190" s="39" t="s">
        <v>107</v>
      </c>
      <c r="F190" s="39" cm="1">
        <f t="array" ref="F190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0.60324999999999995</v>
      </c>
      <c r="G190" s="39">
        <f>ROUNDUP(Table1[[#This Row],[Amount]]/Table1[[#This Row],[Exchange rate]],2)</f>
        <v>207.79999999999998</v>
      </c>
    </row>
    <row r="191" spans="2:7">
      <c r="B191" s="25" t="s">
        <v>302</v>
      </c>
      <c r="C191" s="32">
        <v>46068</v>
      </c>
      <c r="D191" s="25">
        <v>177.18</v>
      </c>
      <c r="E191" s="25" t="s">
        <v>109</v>
      </c>
      <c r="F191" s="25" cm="1">
        <f t="array" ref="F191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0.5081</v>
      </c>
      <c r="G191" s="25">
        <f>ROUNDUP(Table1[[#This Row],[Amount]]/Table1[[#This Row],[Exchange rate]],2)</f>
        <v>348.71999999999997</v>
      </c>
    </row>
    <row r="192" spans="2:7">
      <c r="B192" s="39" t="s">
        <v>303</v>
      </c>
      <c r="C192" s="40">
        <v>46068</v>
      </c>
      <c r="D192" s="42">
        <v>19956.09</v>
      </c>
      <c r="E192" s="39" t="s">
        <v>110</v>
      </c>
      <c r="F192" s="39" cm="1">
        <f t="array" ref="F192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54.665799999999997</v>
      </c>
      <c r="G192" s="39">
        <f>ROUNDUP(Table1[[#This Row],[Amount]]/Table1[[#This Row],[Exchange rate]],2)</f>
        <v>365.06</v>
      </c>
    </row>
    <row r="193" spans="2:7">
      <c r="B193" s="25" t="s">
        <v>304</v>
      </c>
      <c r="C193" s="32">
        <v>46068</v>
      </c>
      <c r="D193" s="25">
        <v>231.84</v>
      </c>
      <c r="E193" s="25" t="s">
        <v>108</v>
      </c>
      <c r="F193" s="25" cm="1">
        <f t="array" ref="F193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0.85150000000000003</v>
      </c>
      <c r="G193" s="25">
        <f>ROUNDUP(Table1[[#This Row],[Amount]]/Table1[[#This Row],[Exchange rate]],2)</f>
        <v>272.27999999999997</v>
      </c>
    </row>
    <row r="194" spans="2:7">
      <c r="B194" s="39" t="s">
        <v>305</v>
      </c>
      <c r="C194" s="40">
        <v>46068</v>
      </c>
      <c r="D194" s="39">
        <v>454.88</v>
      </c>
      <c r="E194" s="39" t="s">
        <v>124</v>
      </c>
      <c r="F194" s="39" cm="1">
        <f t="array" ref="F194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1</v>
      </c>
      <c r="G194" s="39">
        <f>ROUNDUP(Table1[[#This Row],[Amount]]/Table1[[#This Row],[Exchange rate]],2)</f>
        <v>454.88</v>
      </c>
    </row>
    <row r="195" spans="2:7">
      <c r="B195" s="25" t="s">
        <v>306</v>
      </c>
      <c r="C195" s="32">
        <v>46069</v>
      </c>
      <c r="D195" s="41">
        <v>14253.26</v>
      </c>
      <c r="E195" s="25" t="s">
        <v>110</v>
      </c>
      <c r="F195" s="25" cm="1">
        <f t="array" ref="F195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54.665799999999997</v>
      </c>
      <c r="G195" s="25">
        <f>ROUNDUP(Table1[[#This Row],[Amount]]/Table1[[#This Row],[Exchange rate]],2)</f>
        <v>260.74</v>
      </c>
    </row>
    <row r="196" spans="2:7">
      <c r="B196" s="39" t="s">
        <v>307</v>
      </c>
      <c r="C196" s="40">
        <v>46069</v>
      </c>
      <c r="D196" s="39">
        <v>473.68</v>
      </c>
      <c r="E196" s="39" t="s">
        <v>109</v>
      </c>
      <c r="F196" s="39" cm="1">
        <f t="array" ref="F196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0.5081</v>
      </c>
      <c r="G196" s="39">
        <f>ROUNDUP(Table1[[#This Row],[Amount]]/Table1[[#This Row],[Exchange rate]],2)</f>
        <v>932.26</v>
      </c>
    </row>
    <row r="197" spans="2:7">
      <c r="B197" s="25" t="s">
        <v>308</v>
      </c>
      <c r="C197" s="32">
        <v>46070</v>
      </c>
      <c r="D197" s="25">
        <v>172.29</v>
      </c>
      <c r="E197" s="25" t="s">
        <v>108</v>
      </c>
      <c r="F197" s="25" cm="1">
        <f t="array" ref="F197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0.85150000000000003</v>
      </c>
      <c r="G197" s="25">
        <f>ROUNDUP(Table1[[#This Row],[Amount]]/Table1[[#This Row],[Exchange rate]],2)</f>
        <v>202.34</v>
      </c>
    </row>
    <row r="198" spans="2:7">
      <c r="B198" s="39" t="s">
        <v>309</v>
      </c>
      <c r="C198" s="40">
        <v>46070</v>
      </c>
      <c r="D198" s="39">
        <v>354.4</v>
      </c>
      <c r="E198" s="39" t="s">
        <v>107</v>
      </c>
      <c r="F198" s="39" cm="1">
        <f t="array" ref="F198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0.60324999999999995</v>
      </c>
      <c r="G198" s="39">
        <f>ROUNDUP(Table1[[#This Row],[Amount]]/Table1[[#This Row],[Exchange rate]],2)</f>
        <v>587.49</v>
      </c>
    </row>
    <row r="199" spans="2:7">
      <c r="B199" s="25" t="s">
        <v>310</v>
      </c>
      <c r="C199" s="32">
        <v>46070</v>
      </c>
      <c r="D199" s="41">
        <v>21594.3</v>
      </c>
      <c r="E199" s="25" t="s">
        <v>110</v>
      </c>
      <c r="F199" s="25" cm="1">
        <f t="array" ref="F199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54.665799999999997</v>
      </c>
      <c r="G199" s="25">
        <f>ROUNDUP(Table1[[#This Row],[Amount]]/Table1[[#This Row],[Exchange rate]],2)</f>
        <v>395.03</v>
      </c>
    </row>
    <row r="200" spans="2:7">
      <c r="B200" s="39" t="s">
        <v>311</v>
      </c>
      <c r="C200" s="40">
        <v>46071</v>
      </c>
      <c r="D200" s="39">
        <v>414.55</v>
      </c>
      <c r="E200" s="39" t="s">
        <v>107</v>
      </c>
      <c r="F200" s="39" cm="1">
        <f t="array" ref="F200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0.60324999999999995</v>
      </c>
      <c r="G200" s="39">
        <f>ROUNDUP(Table1[[#This Row],[Amount]]/Table1[[#This Row],[Exchange rate]],2)</f>
        <v>687.2</v>
      </c>
    </row>
    <row r="201" spans="2:7">
      <c r="B201" s="25" t="s">
        <v>312</v>
      </c>
      <c r="C201" s="32">
        <v>46071</v>
      </c>
      <c r="D201" s="41">
        <v>29783.7</v>
      </c>
      <c r="E201" s="25" t="s">
        <v>110</v>
      </c>
      <c r="F201" s="25" cm="1">
        <f t="array" ref="F201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54.665799999999997</v>
      </c>
      <c r="G201" s="25">
        <f>ROUNDUP(Table1[[#This Row],[Amount]]/Table1[[#This Row],[Exchange rate]],2)</f>
        <v>544.84</v>
      </c>
    </row>
    <row r="202" spans="2:7">
      <c r="B202" s="39" t="s">
        <v>313</v>
      </c>
      <c r="C202" s="40">
        <v>46071</v>
      </c>
      <c r="D202" s="42">
        <v>24089.279999999999</v>
      </c>
      <c r="E202" s="39" t="s">
        <v>110</v>
      </c>
      <c r="F202" s="39" cm="1">
        <f t="array" ref="F202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54.665799999999997</v>
      </c>
      <c r="G202" s="39">
        <f>ROUNDUP(Table1[[#This Row],[Amount]]/Table1[[#This Row],[Exchange rate]],2)</f>
        <v>440.67</v>
      </c>
    </row>
    <row r="203" spans="2:7">
      <c r="B203" s="25" t="s">
        <v>314</v>
      </c>
      <c r="C203" s="32">
        <v>46072</v>
      </c>
      <c r="D203" s="25">
        <v>358.97</v>
      </c>
      <c r="E203" s="25" t="s">
        <v>108</v>
      </c>
      <c r="F203" s="25" cm="1">
        <f t="array" ref="F203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0.85150000000000003</v>
      </c>
      <c r="G203" s="25">
        <f>ROUNDUP(Table1[[#This Row],[Amount]]/Table1[[#This Row],[Exchange rate]],2)</f>
        <v>421.58</v>
      </c>
    </row>
    <row r="204" spans="2:7">
      <c r="B204" s="39" t="s">
        <v>315</v>
      </c>
      <c r="C204" s="40">
        <v>46072</v>
      </c>
      <c r="D204" s="39">
        <v>287.64999999999998</v>
      </c>
      <c r="E204" s="39" t="s">
        <v>124</v>
      </c>
      <c r="F204" s="39" cm="1">
        <f t="array" ref="F204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1</v>
      </c>
      <c r="G204" s="39">
        <f>ROUNDUP(Table1[[#This Row],[Amount]]/Table1[[#This Row],[Exchange rate]],2)</f>
        <v>287.64999999999998</v>
      </c>
    </row>
    <row r="205" spans="2:7">
      <c r="B205" s="25" t="s">
        <v>316</v>
      </c>
      <c r="C205" s="32">
        <v>46072</v>
      </c>
      <c r="D205" s="25">
        <v>366.96</v>
      </c>
      <c r="E205" s="25" t="s">
        <v>107</v>
      </c>
      <c r="F205" s="25" cm="1">
        <f t="array" ref="F205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0.60324999999999995</v>
      </c>
      <c r="G205" s="25">
        <f>ROUNDUP(Table1[[#This Row],[Amount]]/Table1[[#This Row],[Exchange rate]],2)</f>
        <v>608.30999999999995</v>
      </c>
    </row>
    <row r="206" spans="2:7">
      <c r="B206" s="39" t="s">
        <v>317</v>
      </c>
      <c r="C206" s="40">
        <v>46073</v>
      </c>
      <c r="D206" s="39">
        <v>354.26</v>
      </c>
      <c r="E206" s="39" t="s">
        <v>108</v>
      </c>
      <c r="F206" s="39" cm="1">
        <f t="array" ref="F206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0.84550000000000003</v>
      </c>
      <c r="G206" s="39">
        <f>ROUNDUP(Table1[[#This Row],[Amount]]/Table1[[#This Row],[Exchange rate]],2)</f>
        <v>419</v>
      </c>
    </row>
    <row r="207" spans="2:7">
      <c r="B207" s="25" t="s">
        <v>318</v>
      </c>
      <c r="C207" s="32">
        <v>46073</v>
      </c>
      <c r="D207" s="25">
        <v>490.64</v>
      </c>
      <c r="E207" s="25" t="s">
        <v>107</v>
      </c>
      <c r="F207" s="25" cm="1">
        <f t="array" ref="F207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0.59655000000000002</v>
      </c>
      <c r="G207" s="25">
        <f>ROUNDUP(Table1[[#This Row],[Amount]]/Table1[[#This Row],[Exchange rate]],2)</f>
        <v>822.47</v>
      </c>
    </row>
    <row r="208" spans="2:7">
      <c r="B208" s="39" t="s">
        <v>319</v>
      </c>
      <c r="C208" s="40">
        <v>46073</v>
      </c>
      <c r="D208" s="42">
        <v>8233.67</v>
      </c>
      <c r="E208" s="39" t="s">
        <v>110</v>
      </c>
      <c r="F208" s="39" cm="1">
        <f t="array" ref="F208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54.093699999999998</v>
      </c>
      <c r="G208" s="39">
        <f>ROUNDUP(Table1[[#This Row],[Amount]]/Table1[[#This Row],[Exchange rate]],2)</f>
        <v>152.22</v>
      </c>
    </row>
    <row r="209" spans="2:7">
      <c r="B209" s="25" t="s">
        <v>320</v>
      </c>
      <c r="C209" s="32">
        <v>46073</v>
      </c>
      <c r="D209" s="25">
        <v>261.94</v>
      </c>
      <c r="E209" s="25" t="s">
        <v>124</v>
      </c>
      <c r="F209" s="25" cm="1">
        <f t="array" ref="F209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1</v>
      </c>
      <c r="G209" s="25">
        <f>ROUNDUP(Table1[[#This Row],[Amount]]/Table1[[#This Row],[Exchange rate]],2)</f>
        <v>261.94</v>
      </c>
    </row>
    <row r="210" spans="2:7">
      <c r="B210" s="39" t="s">
        <v>321</v>
      </c>
      <c r="C210" s="40">
        <v>46074</v>
      </c>
      <c r="D210" s="39">
        <v>417.73</v>
      </c>
      <c r="E210" s="39" t="s">
        <v>107</v>
      </c>
      <c r="F210" s="39" cm="1">
        <f t="array" ref="F210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0.59655000000000002</v>
      </c>
      <c r="G210" s="39">
        <f>ROUNDUP(Table1[[#This Row],[Amount]]/Table1[[#This Row],[Exchange rate]],2)</f>
        <v>700.25</v>
      </c>
    </row>
    <row r="211" spans="2:7">
      <c r="B211" s="25" t="s">
        <v>322</v>
      </c>
      <c r="C211" s="32">
        <v>46074</v>
      </c>
      <c r="D211" s="25">
        <v>78.2</v>
      </c>
      <c r="E211" s="25" t="s">
        <v>124</v>
      </c>
      <c r="F211" s="25" cm="1">
        <f t="array" ref="F211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1</v>
      </c>
      <c r="G211" s="25">
        <f>ROUNDUP(Table1[[#This Row],[Amount]]/Table1[[#This Row],[Exchange rate]],2)</f>
        <v>78.2</v>
      </c>
    </row>
    <row r="212" spans="2:7">
      <c r="B212" s="39" t="s">
        <v>323</v>
      </c>
      <c r="C212" s="40">
        <v>46074</v>
      </c>
      <c r="D212" s="39">
        <v>173</v>
      </c>
      <c r="E212" s="39" t="s">
        <v>108</v>
      </c>
      <c r="F212" s="39" cm="1">
        <f t="array" ref="F212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0.84550000000000003</v>
      </c>
      <c r="G212" s="39">
        <f>ROUNDUP(Table1[[#This Row],[Amount]]/Table1[[#This Row],[Exchange rate]],2)</f>
        <v>204.62</v>
      </c>
    </row>
    <row r="213" spans="2:7">
      <c r="B213" s="25" t="s">
        <v>324</v>
      </c>
      <c r="C213" s="32">
        <v>46074</v>
      </c>
      <c r="D213" s="25">
        <v>286.20999999999998</v>
      </c>
      <c r="E213" s="25" t="s">
        <v>124</v>
      </c>
      <c r="F213" s="25" cm="1">
        <f t="array" ref="F213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1</v>
      </c>
      <c r="G213" s="25">
        <f>ROUNDUP(Table1[[#This Row],[Amount]]/Table1[[#This Row],[Exchange rate]],2)</f>
        <v>286.20999999999998</v>
      </c>
    </row>
    <row r="214" spans="2:7">
      <c r="B214" s="39" t="s">
        <v>325</v>
      </c>
      <c r="C214" s="40">
        <v>46075</v>
      </c>
      <c r="D214" s="39">
        <v>376.4</v>
      </c>
      <c r="E214" s="39" t="s">
        <v>109</v>
      </c>
      <c r="F214" s="39" cm="1">
        <f t="array" ref="F214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0.50685000000000002</v>
      </c>
      <c r="G214" s="39">
        <f>ROUNDUP(Table1[[#This Row],[Amount]]/Table1[[#This Row],[Exchange rate]],2)</f>
        <v>742.63</v>
      </c>
    </row>
    <row r="215" spans="2:7">
      <c r="B215" s="25" t="s">
        <v>326</v>
      </c>
      <c r="C215" s="32">
        <v>46075</v>
      </c>
      <c r="D215" s="25">
        <v>361.4</v>
      </c>
      <c r="E215" s="25" t="s">
        <v>107</v>
      </c>
      <c r="F215" s="25" cm="1">
        <f t="array" ref="F215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0.59655000000000002</v>
      </c>
      <c r="G215" s="25">
        <f>ROUNDUP(Table1[[#This Row],[Amount]]/Table1[[#This Row],[Exchange rate]],2)</f>
        <v>605.81999999999994</v>
      </c>
    </row>
    <row r="216" spans="2:7">
      <c r="B216" s="39" t="s">
        <v>327</v>
      </c>
      <c r="C216" s="40">
        <v>46075</v>
      </c>
      <c r="D216" s="39">
        <v>220.54</v>
      </c>
      <c r="E216" s="39" t="s">
        <v>108</v>
      </c>
      <c r="F216" s="39" cm="1">
        <f t="array" ref="F216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0.84550000000000003</v>
      </c>
      <c r="G216" s="39">
        <f>ROUNDUP(Table1[[#This Row],[Amount]]/Table1[[#This Row],[Exchange rate]],2)</f>
        <v>260.83999999999997</v>
      </c>
    </row>
    <row r="217" spans="2:7">
      <c r="B217" s="25" t="s">
        <v>328</v>
      </c>
      <c r="C217" s="32">
        <v>46075</v>
      </c>
      <c r="D217" s="25">
        <v>111.36</v>
      </c>
      <c r="E217" s="25" t="s">
        <v>107</v>
      </c>
      <c r="F217" s="25" cm="1">
        <f t="array" ref="F217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0.59655000000000002</v>
      </c>
      <c r="G217" s="25">
        <f>ROUNDUP(Table1[[#This Row],[Amount]]/Table1[[#This Row],[Exchange rate]],2)</f>
        <v>186.67999999999998</v>
      </c>
    </row>
    <row r="218" spans="2:7">
      <c r="B218" s="39" t="s">
        <v>329</v>
      </c>
      <c r="C218" s="40">
        <v>46075</v>
      </c>
      <c r="D218" s="39">
        <v>421.75</v>
      </c>
      <c r="E218" s="39" t="s">
        <v>107</v>
      </c>
      <c r="F218" s="39" cm="1">
        <f t="array" ref="F218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0.59655000000000002</v>
      </c>
      <c r="G218" s="39">
        <f>ROUNDUP(Table1[[#This Row],[Amount]]/Table1[[#This Row],[Exchange rate]],2)</f>
        <v>706.99</v>
      </c>
    </row>
    <row r="219" spans="2:7">
      <c r="B219" s="25" t="s">
        <v>330</v>
      </c>
      <c r="C219" s="32">
        <v>46076</v>
      </c>
      <c r="D219" s="25">
        <v>189.39</v>
      </c>
      <c r="E219" s="25" t="s">
        <v>107</v>
      </c>
      <c r="F219" s="25" cm="1">
        <f t="array" ref="F219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0.59655000000000002</v>
      </c>
      <c r="G219" s="25">
        <f>ROUNDUP(Table1[[#This Row],[Amount]]/Table1[[#This Row],[Exchange rate]],2)</f>
        <v>317.48</v>
      </c>
    </row>
    <row r="220" spans="2:7">
      <c r="B220" s="39" t="s">
        <v>331</v>
      </c>
      <c r="C220" s="40">
        <v>46076</v>
      </c>
      <c r="D220" s="39">
        <v>421.15</v>
      </c>
      <c r="E220" s="39" t="s">
        <v>109</v>
      </c>
      <c r="F220" s="39" cm="1">
        <f t="array" ref="F220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0.50685000000000002</v>
      </c>
      <c r="G220" s="39">
        <f>ROUNDUP(Table1[[#This Row],[Amount]]/Table1[[#This Row],[Exchange rate]],2)</f>
        <v>830.92</v>
      </c>
    </row>
    <row r="221" spans="2:7">
      <c r="B221" s="25" t="s">
        <v>332</v>
      </c>
      <c r="C221" s="32">
        <v>46076</v>
      </c>
      <c r="D221" s="25">
        <v>452.22</v>
      </c>
      <c r="E221" s="25" t="s">
        <v>107</v>
      </c>
      <c r="F221" s="25" cm="1">
        <f t="array" ref="F221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0.59655000000000002</v>
      </c>
      <c r="G221" s="25">
        <f>ROUNDUP(Table1[[#This Row],[Amount]]/Table1[[#This Row],[Exchange rate]],2)</f>
        <v>758.06</v>
      </c>
    </row>
    <row r="222" spans="2:7">
      <c r="B222" s="39" t="s">
        <v>333</v>
      </c>
      <c r="C222" s="40">
        <v>46076</v>
      </c>
      <c r="D222" s="42">
        <v>13821.57</v>
      </c>
      <c r="E222" s="39" t="s">
        <v>110</v>
      </c>
      <c r="F222" s="39" cm="1">
        <f t="array" ref="F222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54.093699999999998</v>
      </c>
      <c r="G222" s="39">
        <f>ROUNDUP(Table1[[#This Row],[Amount]]/Table1[[#This Row],[Exchange rate]],2)</f>
        <v>255.51999999999998</v>
      </c>
    </row>
    <row r="223" spans="2:7">
      <c r="B223" s="25" t="s">
        <v>334</v>
      </c>
      <c r="C223" s="32">
        <v>46077</v>
      </c>
      <c r="D223" s="25">
        <v>446.93</v>
      </c>
      <c r="E223" s="25" t="s">
        <v>108</v>
      </c>
      <c r="F223" s="25" cm="1">
        <f t="array" ref="F223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0.84550000000000003</v>
      </c>
      <c r="G223" s="25">
        <f>ROUNDUP(Table1[[#This Row],[Amount]]/Table1[[#This Row],[Exchange rate]],2)</f>
        <v>528.6</v>
      </c>
    </row>
    <row r="224" spans="2:7">
      <c r="B224" s="39" t="s">
        <v>335</v>
      </c>
      <c r="C224" s="40">
        <v>46077</v>
      </c>
      <c r="D224" s="42">
        <v>16603.62</v>
      </c>
      <c r="E224" s="39" t="s">
        <v>110</v>
      </c>
      <c r="F224" s="39" cm="1">
        <f t="array" ref="F224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54.093699999999998</v>
      </c>
      <c r="G224" s="39">
        <f>ROUNDUP(Table1[[#This Row],[Amount]]/Table1[[#This Row],[Exchange rate]],2)</f>
        <v>306.95</v>
      </c>
    </row>
    <row r="225" spans="2:7">
      <c r="B225" s="25" t="s">
        <v>336</v>
      </c>
      <c r="C225" s="32">
        <v>46077</v>
      </c>
      <c r="D225" s="25">
        <v>213.87</v>
      </c>
      <c r="E225" s="25" t="s">
        <v>107</v>
      </c>
      <c r="F225" s="25" cm="1">
        <f t="array" ref="F225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0.59655000000000002</v>
      </c>
      <c r="G225" s="25">
        <f>ROUNDUP(Table1[[#This Row],[Amount]]/Table1[[#This Row],[Exchange rate]],2)</f>
        <v>358.52</v>
      </c>
    </row>
    <row r="226" spans="2:7">
      <c r="B226" s="39" t="s">
        <v>337</v>
      </c>
      <c r="C226" s="40">
        <v>46077</v>
      </c>
      <c r="D226" s="39">
        <v>275.68</v>
      </c>
      <c r="E226" s="39" t="s">
        <v>124</v>
      </c>
      <c r="F226" s="39" cm="1">
        <f t="array" ref="F226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1</v>
      </c>
      <c r="G226" s="39">
        <f>ROUNDUP(Table1[[#This Row],[Amount]]/Table1[[#This Row],[Exchange rate]],2)</f>
        <v>275.68</v>
      </c>
    </row>
    <row r="227" spans="2:7">
      <c r="B227" s="25" t="s">
        <v>338</v>
      </c>
      <c r="C227" s="32">
        <v>46078</v>
      </c>
      <c r="D227" s="41">
        <v>23059.200000000001</v>
      </c>
      <c r="E227" s="25" t="s">
        <v>110</v>
      </c>
      <c r="F227" s="25" cm="1">
        <f t="array" ref="F227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54.093699999999998</v>
      </c>
      <c r="G227" s="25">
        <f>ROUNDUP(Table1[[#This Row],[Amount]]/Table1[[#This Row],[Exchange rate]],2)</f>
        <v>426.28999999999996</v>
      </c>
    </row>
    <row r="228" spans="2:7">
      <c r="B228" s="39" t="s">
        <v>339</v>
      </c>
      <c r="C228" s="40">
        <v>46078</v>
      </c>
      <c r="D228" s="39">
        <v>119.46</v>
      </c>
      <c r="E228" s="39" t="s">
        <v>107</v>
      </c>
      <c r="F228" s="39" cm="1">
        <f t="array" ref="F228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0.59655000000000002</v>
      </c>
      <c r="G228" s="39">
        <f>ROUNDUP(Table1[[#This Row],[Amount]]/Table1[[#This Row],[Exchange rate]],2)</f>
        <v>200.26</v>
      </c>
    </row>
    <row r="229" spans="2:7">
      <c r="B229" s="25" t="s">
        <v>340</v>
      </c>
      <c r="C229" s="32">
        <v>46078</v>
      </c>
      <c r="D229" s="25">
        <v>422.9</v>
      </c>
      <c r="E229" s="25" t="s">
        <v>108</v>
      </c>
      <c r="F229" s="25" cm="1">
        <f t="array" ref="F229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0.84550000000000003</v>
      </c>
      <c r="G229" s="25">
        <f>ROUNDUP(Table1[[#This Row],[Amount]]/Table1[[#This Row],[Exchange rate]],2)</f>
        <v>500.18</v>
      </c>
    </row>
    <row r="230" spans="2:7">
      <c r="B230" s="39" t="s">
        <v>341</v>
      </c>
      <c r="C230" s="40">
        <v>46079</v>
      </c>
      <c r="D230" s="39">
        <v>134.34</v>
      </c>
      <c r="E230" s="39" t="s">
        <v>109</v>
      </c>
      <c r="F230" s="39" cm="1">
        <f t="array" ref="F230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0.50685000000000002</v>
      </c>
      <c r="G230" s="39">
        <f>ROUNDUP(Table1[[#This Row],[Amount]]/Table1[[#This Row],[Exchange rate]],2)</f>
        <v>265.05</v>
      </c>
    </row>
    <row r="231" spans="2:7">
      <c r="B231" s="25" t="s">
        <v>342</v>
      </c>
      <c r="C231" s="32">
        <v>46079</v>
      </c>
      <c r="D231" s="25">
        <v>226.21</v>
      </c>
      <c r="E231" s="25" t="s">
        <v>109</v>
      </c>
      <c r="F231" s="25" cm="1">
        <f t="array" ref="F231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0.50685000000000002</v>
      </c>
      <c r="G231" s="25">
        <f>ROUNDUP(Table1[[#This Row],[Amount]]/Table1[[#This Row],[Exchange rate]],2)</f>
        <v>446.31</v>
      </c>
    </row>
    <row r="232" spans="2:7">
      <c r="B232" s="39" t="s">
        <v>343</v>
      </c>
      <c r="C232" s="40">
        <v>46079</v>
      </c>
      <c r="D232" s="39">
        <v>197.2</v>
      </c>
      <c r="E232" s="39" t="s">
        <v>124</v>
      </c>
      <c r="F232" s="39" cm="1">
        <f t="array" ref="F232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1</v>
      </c>
      <c r="G232" s="39">
        <f>ROUNDUP(Table1[[#This Row],[Amount]]/Table1[[#This Row],[Exchange rate]],2)</f>
        <v>197.2</v>
      </c>
    </row>
    <row r="233" spans="2:7">
      <c r="B233" s="25" t="s">
        <v>344</v>
      </c>
      <c r="C233" s="32">
        <v>46079</v>
      </c>
      <c r="D233" s="25">
        <v>330.67</v>
      </c>
      <c r="E233" s="25" t="s">
        <v>108</v>
      </c>
      <c r="F233" s="25" cm="1">
        <f t="array" ref="F233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0.84550000000000003</v>
      </c>
      <c r="G233" s="25">
        <f>ROUNDUP(Table1[[#This Row],[Amount]]/Table1[[#This Row],[Exchange rate]],2)</f>
        <v>391.09999999999997</v>
      </c>
    </row>
    <row r="234" spans="2:7">
      <c r="B234" s="39" t="s">
        <v>345</v>
      </c>
      <c r="C234" s="40">
        <v>46079</v>
      </c>
      <c r="D234" s="39">
        <v>159.09</v>
      </c>
      <c r="E234" s="39" t="s">
        <v>107</v>
      </c>
      <c r="F234" s="39" cm="1">
        <f t="array" ref="F234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0.59655000000000002</v>
      </c>
      <c r="G234" s="39">
        <f>ROUNDUP(Table1[[#This Row],[Amount]]/Table1[[#This Row],[Exchange rate]],2)</f>
        <v>266.69</v>
      </c>
    </row>
    <row r="235" spans="2:7">
      <c r="B235" s="25" t="s">
        <v>346</v>
      </c>
      <c r="C235" s="32">
        <v>46079</v>
      </c>
      <c r="D235" s="25">
        <v>227.67</v>
      </c>
      <c r="E235" s="25" t="s">
        <v>107</v>
      </c>
      <c r="F235" s="25" cm="1">
        <f t="array" ref="F235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0.59655000000000002</v>
      </c>
      <c r="G235" s="25">
        <f>ROUNDUP(Table1[[#This Row],[Amount]]/Table1[[#This Row],[Exchange rate]],2)</f>
        <v>381.65</v>
      </c>
    </row>
    <row r="236" spans="2:7">
      <c r="B236" s="39" t="s">
        <v>347</v>
      </c>
      <c r="C236" s="40">
        <v>46080</v>
      </c>
      <c r="D236" s="42">
        <v>21173.360000000001</v>
      </c>
      <c r="E236" s="39" t="s">
        <v>110</v>
      </c>
      <c r="F236" s="39" cm="1">
        <f t="array" ref="F236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54.344099999999997</v>
      </c>
      <c r="G236" s="39">
        <f>ROUNDUP(Table1[[#This Row],[Amount]]/Table1[[#This Row],[Exchange rate]],2)</f>
        <v>389.62</v>
      </c>
    </row>
    <row r="237" spans="2:7">
      <c r="B237" s="25" t="s">
        <v>348</v>
      </c>
      <c r="C237" s="32">
        <v>46080</v>
      </c>
      <c r="D237" s="25">
        <v>175.78</v>
      </c>
      <c r="E237" s="25" t="s">
        <v>107</v>
      </c>
      <c r="F237" s="25" cm="1">
        <f t="array" ref="F237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0.59775</v>
      </c>
      <c r="G237" s="25">
        <f>ROUNDUP(Table1[[#This Row],[Amount]]/Table1[[#This Row],[Exchange rate]],2)</f>
        <v>294.07</v>
      </c>
    </row>
    <row r="238" spans="2:7">
      <c r="B238" s="39" t="s">
        <v>349</v>
      </c>
      <c r="C238" s="40">
        <v>46080</v>
      </c>
      <c r="D238" s="39">
        <v>233.49</v>
      </c>
      <c r="E238" s="39" t="s">
        <v>108</v>
      </c>
      <c r="F238" s="39" cm="1">
        <f t="array" ref="F238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0.84194999999999998</v>
      </c>
      <c r="G238" s="39">
        <f>ROUNDUP(Table1[[#This Row],[Amount]]/Table1[[#This Row],[Exchange rate]],2)</f>
        <v>277.33</v>
      </c>
    </row>
    <row r="239" spans="2:7">
      <c r="B239" s="25" t="s">
        <v>350</v>
      </c>
      <c r="C239" s="32">
        <v>46080</v>
      </c>
      <c r="D239" s="25">
        <v>475.44</v>
      </c>
      <c r="E239" s="25" t="s">
        <v>108</v>
      </c>
      <c r="F239" s="25" cm="1">
        <f t="array" ref="F239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0.84194999999999998</v>
      </c>
      <c r="G239" s="25">
        <f>ROUNDUP(Table1[[#This Row],[Amount]]/Table1[[#This Row],[Exchange rate]],2)</f>
        <v>564.68999999999994</v>
      </c>
    </row>
    <row r="240" spans="2:7">
      <c r="B240" s="39" t="s">
        <v>351</v>
      </c>
      <c r="C240" s="40">
        <v>46081</v>
      </c>
      <c r="D240" s="39">
        <v>88.99</v>
      </c>
      <c r="E240" s="39" t="s">
        <v>107</v>
      </c>
      <c r="F240" s="39" cm="1">
        <f t="array" ref="F240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0.59775</v>
      </c>
      <c r="G240" s="39">
        <f>ROUNDUP(Table1[[#This Row],[Amount]]/Table1[[#This Row],[Exchange rate]],2)</f>
        <v>148.88</v>
      </c>
    </row>
    <row r="241" spans="2:7">
      <c r="B241" s="25" t="s">
        <v>352</v>
      </c>
      <c r="C241" s="32">
        <v>46081</v>
      </c>
      <c r="D241" s="25">
        <v>395.53</v>
      </c>
      <c r="E241" s="25" t="s">
        <v>109</v>
      </c>
      <c r="F241" s="25" cm="1">
        <f t="array" ref="F241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0.50670000000000004</v>
      </c>
      <c r="G241" s="25">
        <f>ROUNDUP(Table1[[#This Row],[Amount]]/Table1[[#This Row],[Exchange rate]],2)</f>
        <v>780.6</v>
      </c>
    </row>
    <row r="242" spans="2:7">
      <c r="B242" s="39" t="s">
        <v>353</v>
      </c>
      <c r="C242" s="40">
        <v>46081</v>
      </c>
      <c r="D242" s="42">
        <v>19353.84</v>
      </c>
      <c r="E242" s="39" t="s">
        <v>110</v>
      </c>
      <c r="F242" s="39" cm="1">
        <f t="array" ref="F242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54.344099999999997</v>
      </c>
      <c r="G242" s="39">
        <f>ROUNDUP(Table1[[#This Row],[Amount]]/Table1[[#This Row],[Exchange rate]],2)</f>
        <v>356.14</v>
      </c>
    </row>
    <row r="243" spans="2:7">
      <c r="B243" s="25" t="s">
        <v>354</v>
      </c>
      <c r="C243" s="32">
        <v>46082</v>
      </c>
      <c r="D243" s="25">
        <v>378.78</v>
      </c>
      <c r="E243" s="25" t="s">
        <v>107</v>
      </c>
      <c r="F243" s="25" cm="1">
        <f t="array" ref="F243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0.59775</v>
      </c>
      <c r="G243" s="25">
        <f>ROUNDUP(Table1[[#This Row],[Amount]]/Table1[[#This Row],[Exchange rate]],2)</f>
        <v>633.67999999999995</v>
      </c>
    </row>
    <row r="244" spans="2:7">
      <c r="B244" s="39" t="s">
        <v>355</v>
      </c>
      <c r="C244" s="40">
        <v>46082</v>
      </c>
      <c r="D244" s="39">
        <v>255.47</v>
      </c>
      <c r="E244" s="39" t="s">
        <v>124</v>
      </c>
      <c r="F244" s="39" cm="1">
        <f t="array" ref="F244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1</v>
      </c>
      <c r="G244" s="39">
        <f>ROUNDUP(Table1[[#This Row],[Amount]]/Table1[[#This Row],[Exchange rate]],2)</f>
        <v>255.47</v>
      </c>
    </row>
    <row r="245" spans="2:7">
      <c r="B245" s="25" t="s">
        <v>356</v>
      </c>
      <c r="C245" s="32">
        <v>46082</v>
      </c>
      <c r="D245" s="25">
        <v>127.49</v>
      </c>
      <c r="E245" s="25" t="s">
        <v>124</v>
      </c>
      <c r="F245" s="25" cm="1">
        <f t="array" ref="F245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1</v>
      </c>
      <c r="G245" s="25">
        <f>ROUNDUP(Table1[[#This Row],[Amount]]/Table1[[#This Row],[Exchange rate]],2)</f>
        <v>127.49</v>
      </c>
    </row>
    <row r="246" spans="2:7">
      <c r="B246" s="39" t="s">
        <v>357</v>
      </c>
      <c r="C246" s="40">
        <v>46082</v>
      </c>
      <c r="D246" s="39">
        <v>82.44</v>
      </c>
      <c r="E246" s="39" t="s">
        <v>108</v>
      </c>
      <c r="F246" s="39" cm="1">
        <f t="array" ref="F246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0.84194999999999998</v>
      </c>
      <c r="G246" s="39">
        <f>ROUNDUP(Table1[[#This Row],[Amount]]/Table1[[#This Row],[Exchange rate]],2)</f>
        <v>97.92</v>
      </c>
    </row>
    <row r="247" spans="2:7">
      <c r="B247" s="25" t="s">
        <v>358</v>
      </c>
      <c r="C247" s="32">
        <v>46083</v>
      </c>
      <c r="D247" s="25">
        <v>241.67</v>
      </c>
      <c r="E247" s="25" t="s">
        <v>108</v>
      </c>
      <c r="F247" s="25" cm="1">
        <f t="array" ref="F247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0.84194999999999998</v>
      </c>
      <c r="G247" s="25">
        <f>ROUNDUP(Table1[[#This Row],[Amount]]/Table1[[#This Row],[Exchange rate]],2)</f>
        <v>287.03999999999996</v>
      </c>
    </row>
    <row r="248" spans="2:7">
      <c r="B248" s="39" t="s">
        <v>359</v>
      </c>
      <c r="C248" s="40">
        <v>46083</v>
      </c>
      <c r="D248" s="42">
        <v>36240.800000000003</v>
      </c>
      <c r="E248" s="39" t="s">
        <v>110</v>
      </c>
      <c r="F248" s="39" cm="1">
        <f t="array" ref="F248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54.344099999999997</v>
      </c>
      <c r="G248" s="39">
        <f>ROUNDUP(Table1[[#This Row],[Amount]]/Table1[[#This Row],[Exchange rate]],2)</f>
        <v>666.88</v>
      </c>
    </row>
    <row r="249" spans="2:7">
      <c r="B249" s="25" t="s">
        <v>360</v>
      </c>
      <c r="C249" s="32">
        <v>46083</v>
      </c>
      <c r="D249" s="41">
        <v>7508.05</v>
      </c>
      <c r="E249" s="25" t="s">
        <v>110</v>
      </c>
      <c r="F249" s="25" cm="1">
        <f t="array" ref="F249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54.344099999999997</v>
      </c>
      <c r="G249" s="25">
        <f>ROUNDUP(Table1[[#This Row],[Amount]]/Table1[[#This Row],[Exchange rate]],2)</f>
        <v>138.16</v>
      </c>
    </row>
    <row r="250" spans="2:7">
      <c r="B250" s="39" t="s">
        <v>361</v>
      </c>
      <c r="C250" s="40">
        <v>46083</v>
      </c>
      <c r="D250" s="39">
        <v>210.32</v>
      </c>
      <c r="E250" s="39" t="s">
        <v>109</v>
      </c>
      <c r="F250" s="39" cm="1">
        <f t="array" ref="F250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0.50670000000000004</v>
      </c>
      <c r="G250" s="39">
        <f>ROUNDUP(Table1[[#This Row],[Amount]]/Table1[[#This Row],[Exchange rate]],2)</f>
        <v>415.08</v>
      </c>
    </row>
    <row r="251" spans="2:7">
      <c r="B251" s="25" t="s">
        <v>362</v>
      </c>
      <c r="C251" s="32">
        <v>46084</v>
      </c>
      <c r="D251" s="41">
        <v>17486.080000000002</v>
      </c>
      <c r="E251" s="25" t="s">
        <v>110</v>
      </c>
      <c r="F251" s="25" cm="1">
        <f t="array" ref="F251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54.344099999999997</v>
      </c>
      <c r="G251" s="25">
        <f>ROUNDUP(Table1[[#This Row],[Amount]]/Table1[[#This Row],[Exchange rate]],2)</f>
        <v>321.77</v>
      </c>
    </row>
    <row r="252" spans="2:7">
      <c r="B252" s="39" t="s">
        <v>363</v>
      </c>
      <c r="C252" s="40">
        <v>46084</v>
      </c>
      <c r="D252" s="39">
        <v>219.04</v>
      </c>
      <c r="E252" s="39" t="s">
        <v>107</v>
      </c>
      <c r="F252" s="39" cm="1">
        <f t="array" ref="F252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0.59775</v>
      </c>
      <c r="G252" s="39">
        <f>ROUNDUP(Table1[[#This Row],[Amount]]/Table1[[#This Row],[Exchange rate]],2)</f>
        <v>366.45</v>
      </c>
    </row>
    <row r="253" spans="2:7">
      <c r="B253" s="25" t="s">
        <v>364</v>
      </c>
      <c r="C253" s="32">
        <v>46084</v>
      </c>
      <c r="D253" s="25">
        <v>315.83999999999997</v>
      </c>
      <c r="E253" s="25" t="s">
        <v>109</v>
      </c>
      <c r="F253" s="25" cm="1">
        <f t="array" ref="F253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0.50670000000000004</v>
      </c>
      <c r="G253" s="25">
        <f>ROUNDUP(Table1[[#This Row],[Amount]]/Table1[[#This Row],[Exchange rate]],2)</f>
        <v>623.33000000000004</v>
      </c>
    </row>
    <row r="254" spans="2:7">
      <c r="B254" s="39" t="s">
        <v>365</v>
      </c>
      <c r="C254" s="40">
        <v>46085</v>
      </c>
      <c r="D254" s="39">
        <v>84.74</v>
      </c>
      <c r="E254" s="39" t="s">
        <v>108</v>
      </c>
      <c r="F254" s="39" cm="1">
        <f t="array" ref="F254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0.84194999999999998</v>
      </c>
      <c r="G254" s="39">
        <f>ROUNDUP(Table1[[#This Row],[Amount]]/Table1[[#This Row],[Exchange rate]],2)</f>
        <v>100.65</v>
      </c>
    </row>
    <row r="255" spans="2:7">
      <c r="B255" s="25" t="s">
        <v>366</v>
      </c>
      <c r="C255" s="32">
        <v>46085</v>
      </c>
      <c r="D255" s="25">
        <v>434</v>
      </c>
      <c r="E255" s="25" t="s">
        <v>107</v>
      </c>
      <c r="F255" s="25" cm="1">
        <f t="array" ref="F255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0.59775</v>
      </c>
      <c r="G255" s="25">
        <f>ROUNDUP(Table1[[#This Row],[Amount]]/Table1[[#This Row],[Exchange rate]],2)</f>
        <v>726.06</v>
      </c>
    </row>
    <row r="256" spans="2:7">
      <c r="B256" s="39" t="s">
        <v>367</v>
      </c>
      <c r="C256" s="40">
        <v>46085</v>
      </c>
      <c r="D256" s="39">
        <v>287.49</v>
      </c>
      <c r="E256" s="39" t="s">
        <v>109</v>
      </c>
      <c r="F256" s="39" cm="1">
        <f t="array" ref="F256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0.50670000000000004</v>
      </c>
      <c r="G256" s="39">
        <f>ROUNDUP(Table1[[#This Row],[Amount]]/Table1[[#This Row],[Exchange rate]],2)</f>
        <v>567.38</v>
      </c>
    </row>
    <row r="257" spans="2:7">
      <c r="B257" s="25" t="s">
        <v>368</v>
      </c>
      <c r="C257" s="32">
        <v>46085</v>
      </c>
      <c r="D257" s="25">
        <v>286.2</v>
      </c>
      <c r="E257" s="25" t="s">
        <v>108</v>
      </c>
      <c r="F257" s="25" cm="1">
        <f t="array" ref="F257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0.84194999999999998</v>
      </c>
      <c r="G257" s="25">
        <f>ROUNDUP(Table1[[#This Row],[Amount]]/Table1[[#This Row],[Exchange rate]],2)</f>
        <v>339.93</v>
      </c>
    </row>
    <row r="258" spans="2:7">
      <c r="B258" s="39" t="s">
        <v>369</v>
      </c>
      <c r="C258" s="40">
        <v>46086</v>
      </c>
      <c r="D258" s="39">
        <v>409.59</v>
      </c>
      <c r="E258" s="39" t="s">
        <v>109</v>
      </c>
      <c r="F258" s="39" cm="1">
        <f t="array" ref="F258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0.50670000000000004</v>
      </c>
      <c r="G258" s="39">
        <f>ROUNDUP(Table1[[#This Row],[Amount]]/Table1[[#This Row],[Exchange rate]],2)</f>
        <v>808.35</v>
      </c>
    </row>
    <row r="259" spans="2:7">
      <c r="B259" s="25" t="s">
        <v>370</v>
      </c>
      <c r="C259" s="32">
        <v>46086</v>
      </c>
      <c r="D259" s="41">
        <v>30367.69</v>
      </c>
      <c r="E259" s="25" t="s">
        <v>110</v>
      </c>
      <c r="F259" s="25" cm="1">
        <f t="array" ref="F259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54.344099999999997</v>
      </c>
      <c r="G259" s="25">
        <f>ROUNDUP(Table1[[#This Row],[Amount]]/Table1[[#This Row],[Exchange rate]],2)</f>
        <v>558.80999999999995</v>
      </c>
    </row>
    <row r="260" spans="2:7">
      <c r="B260" s="39" t="s">
        <v>371</v>
      </c>
      <c r="C260" s="40">
        <v>46086</v>
      </c>
      <c r="D260" s="39">
        <v>454.41</v>
      </c>
      <c r="E260" s="39" t="s">
        <v>124</v>
      </c>
      <c r="F260" s="39" cm="1">
        <f t="array" ref="F260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1</v>
      </c>
      <c r="G260" s="39">
        <f>ROUNDUP(Table1[[#This Row],[Amount]]/Table1[[#This Row],[Exchange rate]],2)</f>
        <v>454.41</v>
      </c>
    </row>
    <row r="261" spans="2:7">
      <c r="B261" s="25" t="s">
        <v>372</v>
      </c>
      <c r="C261" s="32">
        <v>46086</v>
      </c>
      <c r="D261" s="25">
        <v>263.87</v>
      </c>
      <c r="E261" s="25" t="s">
        <v>108</v>
      </c>
      <c r="F261" s="25" cm="1">
        <f t="array" ref="F261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0.84194999999999998</v>
      </c>
      <c r="G261" s="25">
        <f>ROUNDUP(Table1[[#This Row],[Amount]]/Table1[[#This Row],[Exchange rate]],2)</f>
        <v>313.40999999999997</v>
      </c>
    </row>
    <row r="262" spans="2:7">
      <c r="B262" s="39" t="s">
        <v>373</v>
      </c>
      <c r="C262" s="40">
        <v>46086</v>
      </c>
      <c r="D262" s="39">
        <v>348.88</v>
      </c>
      <c r="E262" s="39" t="s">
        <v>107</v>
      </c>
      <c r="F262" s="39" cm="1">
        <f t="array" ref="F262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0.59775</v>
      </c>
      <c r="G262" s="39">
        <f>ROUNDUP(Table1[[#This Row],[Amount]]/Table1[[#This Row],[Exchange rate]],2)</f>
        <v>583.66</v>
      </c>
    </row>
    <row r="263" spans="2:7">
      <c r="B263" s="25" t="s">
        <v>374</v>
      </c>
      <c r="C263" s="32">
        <v>46087</v>
      </c>
      <c r="D263" s="25">
        <v>173.09</v>
      </c>
      <c r="E263" s="25" t="s">
        <v>109</v>
      </c>
      <c r="F263" s="25" cm="1">
        <f t="array" ref="F263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0.50880000000000003</v>
      </c>
      <c r="G263" s="25">
        <f>ROUNDUP(Table1[[#This Row],[Amount]]/Table1[[#This Row],[Exchange rate]],2)</f>
        <v>340.2</v>
      </c>
    </row>
    <row r="264" spans="2:7">
      <c r="B264" s="39" t="s">
        <v>375</v>
      </c>
      <c r="C264" s="40">
        <v>46087</v>
      </c>
      <c r="D264" s="39">
        <v>103.85</v>
      </c>
      <c r="E264" s="39" t="s">
        <v>107</v>
      </c>
      <c r="F264" s="39" cm="1">
        <f t="array" ref="F264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0.59075</v>
      </c>
      <c r="G264" s="39">
        <f>ROUNDUP(Table1[[#This Row],[Amount]]/Table1[[#This Row],[Exchange rate]],2)</f>
        <v>175.79999999999998</v>
      </c>
    </row>
    <row r="265" spans="2:7">
      <c r="B265" s="25" t="s">
        <v>376</v>
      </c>
      <c r="C265" s="32">
        <v>46087</v>
      </c>
      <c r="D265" s="25">
        <v>388.74</v>
      </c>
      <c r="E265" s="25" t="s">
        <v>107</v>
      </c>
      <c r="F265" s="25" cm="1">
        <f t="array" ref="F265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0.59075</v>
      </c>
      <c r="G265" s="25">
        <f>ROUNDUP(Table1[[#This Row],[Amount]]/Table1[[#This Row],[Exchange rate]],2)</f>
        <v>658.05</v>
      </c>
    </row>
    <row r="266" spans="2:7">
      <c r="B266" s="39" t="s">
        <v>377</v>
      </c>
      <c r="C266" s="40">
        <v>46088</v>
      </c>
      <c r="D266" s="42">
        <v>8727.18</v>
      </c>
      <c r="E266" s="39" t="s">
        <v>110</v>
      </c>
      <c r="F266" s="39" cm="1">
        <f t="array" ref="F266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54.107599999999998</v>
      </c>
      <c r="G266" s="39">
        <f>ROUNDUP(Table1[[#This Row],[Amount]]/Table1[[#This Row],[Exchange rate]],2)</f>
        <v>161.29999999999998</v>
      </c>
    </row>
    <row r="267" spans="2:7">
      <c r="B267" s="25" t="s">
        <v>378</v>
      </c>
      <c r="C267" s="32">
        <v>46088</v>
      </c>
      <c r="D267" s="25">
        <v>416.83</v>
      </c>
      <c r="E267" s="25" t="s">
        <v>107</v>
      </c>
      <c r="F267" s="25" cm="1">
        <f t="array" ref="F267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0.59075</v>
      </c>
      <c r="G267" s="25">
        <f>ROUNDUP(Table1[[#This Row],[Amount]]/Table1[[#This Row],[Exchange rate]],2)</f>
        <v>705.6</v>
      </c>
    </row>
    <row r="268" spans="2:7">
      <c r="B268" s="39" t="s">
        <v>379</v>
      </c>
      <c r="C268" s="40">
        <v>46088</v>
      </c>
      <c r="D268" s="42">
        <v>22469.4</v>
      </c>
      <c r="E268" s="39" t="s">
        <v>110</v>
      </c>
      <c r="F268" s="39" cm="1">
        <f t="array" ref="F268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54.107599999999998</v>
      </c>
      <c r="G268" s="39">
        <f>ROUNDUP(Table1[[#This Row],[Amount]]/Table1[[#This Row],[Exchange rate]],2)</f>
        <v>415.28</v>
      </c>
    </row>
    <row r="269" spans="2:7">
      <c r="B269" s="25" t="s">
        <v>380</v>
      </c>
      <c r="C269" s="32">
        <v>46089</v>
      </c>
      <c r="D269" s="25">
        <v>316.82</v>
      </c>
      <c r="E269" s="25" t="s">
        <v>108</v>
      </c>
      <c r="F269" s="25" cm="1">
        <f t="array" ref="F269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0.84145000000000003</v>
      </c>
      <c r="G269" s="25">
        <f>ROUNDUP(Table1[[#This Row],[Amount]]/Table1[[#This Row],[Exchange rate]],2)</f>
        <v>376.52</v>
      </c>
    </row>
    <row r="270" spans="2:7">
      <c r="B270" s="39" t="s">
        <v>381</v>
      </c>
      <c r="C270" s="40">
        <v>46089</v>
      </c>
      <c r="D270" s="39">
        <v>469.25</v>
      </c>
      <c r="E270" s="39" t="s">
        <v>108</v>
      </c>
      <c r="F270" s="39" cm="1">
        <f t="array" ref="F270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0.84145000000000003</v>
      </c>
      <c r="G270" s="39">
        <f>ROUNDUP(Table1[[#This Row],[Amount]]/Table1[[#This Row],[Exchange rate]],2)</f>
        <v>557.66999999999996</v>
      </c>
    </row>
    <row r="271" spans="2:7">
      <c r="B271" s="25" t="s">
        <v>382</v>
      </c>
      <c r="C271" s="32">
        <v>46089</v>
      </c>
      <c r="D271" s="25">
        <v>216.3</v>
      </c>
      <c r="E271" s="25" t="s">
        <v>107</v>
      </c>
      <c r="F271" s="25" cm="1">
        <f t="array" ref="F271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0.59075</v>
      </c>
      <c r="G271" s="25">
        <f>ROUNDUP(Table1[[#This Row],[Amount]]/Table1[[#This Row],[Exchange rate]],2)</f>
        <v>366.15</v>
      </c>
    </row>
    <row r="272" spans="2:7">
      <c r="B272" s="39" t="s">
        <v>383</v>
      </c>
      <c r="C272" s="40">
        <v>46089</v>
      </c>
      <c r="D272" s="39">
        <v>499.28</v>
      </c>
      <c r="E272" s="39" t="s">
        <v>109</v>
      </c>
      <c r="F272" s="39" cm="1">
        <f t="array" ref="F272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0.50880000000000003</v>
      </c>
      <c r="G272" s="39">
        <f>ROUNDUP(Table1[[#This Row],[Amount]]/Table1[[#This Row],[Exchange rate]],2)</f>
        <v>981.29</v>
      </c>
    </row>
    <row r="273" spans="2:7">
      <c r="B273" s="25" t="s">
        <v>384</v>
      </c>
      <c r="C273" s="32">
        <v>46089</v>
      </c>
      <c r="D273" s="41">
        <v>8913.2800000000007</v>
      </c>
      <c r="E273" s="25" t="s">
        <v>110</v>
      </c>
      <c r="F273" s="25" cm="1">
        <f t="array" ref="F273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54.107599999999998</v>
      </c>
      <c r="G273" s="25">
        <f>ROUNDUP(Table1[[#This Row],[Amount]]/Table1[[#This Row],[Exchange rate]],2)</f>
        <v>164.73999999999998</v>
      </c>
    </row>
    <row r="274" spans="2:7">
      <c r="B274" s="39" t="s">
        <v>385</v>
      </c>
      <c r="C274" s="40">
        <v>46090</v>
      </c>
      <c r="D274" s="42">
        <v>10387.44</v>
      </c>
      <c r="E274" s="39" t="s">
        <v>110</v>
      </c>
      <c r="F274" s="39" cm="1">
        <f t="array" ref="F274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54.107599999999998</v>
      </c>
      <c r="G274" s="39">
        <f>ROUNDUP(Table1[[#This Row],[Amount]]/Table1[[#This Row],[Exchange rate]],2)</f>
        <v>191.98</v>
      </c>
    </row>
    <row r="275" spans="2:7">
      <c r="B275" s="25" t="s">
        <v>386</v>
      </c>
      <c r="C275" s="32">
        <v>46090</v>
      </c>
      <c r="D275" s="41">
        <v>31978.1</v>
      </c>
      <c r="E275" s="25" t="s">
        <v>110</v>
      </c>
      <c r="F275" s="25" cm="1">
        <f t="array" ref="F275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54.107599999999998</v>
      </c>
      <c r="G275" s="25">
        <f>ROUNDUP(Table1[[#This Row],[Amount]]/Table1[[#This Row],[Exchange rate]],2)</f>
        <v>591.01</v>
      </c>
    </row>
    <row r="276" spans="2:7">
      <c r="B276" s="39" t="s">
        <v>387</v>
      </c>
      <c r="C276" s="40">
        <v>46091</v>
      </c>
      <c r="D276" s="39">
        <v>285.93</v>
      </c>
      <c r="E276" s="39" t="s">
        <v>108</v>
      </c>
      <c r="F276" s="39" cm="1">
        <f t="array" ref="F276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0.84145000000000003</v>
      </c>
      <c r="G276" s="39">
        <f>ROUNDUP(Table1[[#This Row],[Amount]]/Table1[[#This Row],[Exchange rate]],2)</f>
        <v>339.81</v>
      </c>
    </row>
    <row r="277" spans="2:7">
      <c r="B277" s="25" t="s">
        <v>388</v>
      </c>
      <c r="C277" s="32">
        <v>46091</v>
      </c>
      <c r="D277" s="25">
        <v>81.17</v>
      </c>
      <c r="E277" s="25" t="s">
        <v>109</v>
      </c>
      <c r="F277" s="25" cm="1">
        <f t="array" ref="F277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0.50880000000000003</v>
      </c>
      <c r="G277" s="25">
        <f>ROUNDUP(Table1[[#This Row],[Amount]]/Table1[[#This Row],[Exchange rate]],2)</f>
        <v>159.54</v>
      </c>
    </row>
    <row r="278" spans="2:7">
      <c r="B278" s="39" t="s">
        <v>389</v>
      </c>
      <c r="C278" s="40">
        <v>46091</v>
      </c>
      <c r="D278" s="39">
        <v>361.58</v>
      </c>
      <c r="E278" s="39" t="s">
        <v>108</v>
      </c>
      <c r="F278" s="39" cm="1">
        <f t="array" ref="F278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0.84145000000000003</v>
      </c>
      <c r="G278" s="39">
        <f>ROUNDUP(Table1[[#This Row],[Amount]]/Table1[[#This Row],[Exchange rate]],2)</f>
        <v>429.71999999999997</v>
      </c>
    </row>
    <row r="279" spans="2:7">
      <c r="B279" s="25" t="s">
        <v>390</v>
      </c>
      <c r="C279" s="32">
        <v>46092</v>
      </c>
      <c r="D279" s="25">
        <v>248.35</v>
      </c>
      <c r="E279" s="25" t="s">
        <v>108</v>
      </c>
      <c r="F279" s="25" cm="1">
        <f t="array" ref="F279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0.84145000000000003</v>
      </c>
      <c r="G279" s="25">
        <f>ROUNDUP(Table1[[#This Row],[Amount]]/Table1[[#This Row],[Exchange rate]],2)</f>
        <v>295.14999999999998</v>
      </c>
    </row>
    <row r="280" spans="2:7">
      <c r="B280" s="39" t="s">
        <v>391</v>
      </c>
      <c r="C280" s="40">
        <v>46092</v>
      </c>
      <c r="D280" s="39">
        <v>490.75</v>
      </c>
      <c r="E280" s="39" t="s">
        <v>109</v>
      </c>
      <c r="F280" s="39" cm="1">
        <f t="array" ref="F280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0.50880000000000003</v>
      </c>
      <c r="G280" s="39">
        <f>ROUNDUP(Table1[[#This Row],[Amount]]/Table1[[#This Row],[Exchange rate]],2)</f>
        <v>964.53</v>
      </c>
    </row>
    <row r="281" spans="2:7">
      <c r="B281" s="25" t="s">
        <v>392</v>
      </c>
      <c r="C281" s="32">
        <v>46092</v>
      </c>
      <c r="D281" s="41">
        <v>17098.240000000002</v>
      </c>
      <c r="E281" s="25" t="s">
        <v>110</v>
      </c>
      <c r="F281" s="25" cm="1">
        <f t="array" ref="F281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54.107599999999998</v>
      </c>
      <c r="G281" s="25">
        <f>ROUNDUP(Table1[[#This Row],[Amount]]/Table1[[#This Row],[Exchange rate]],2)</f>
        <v>316.01</v>
      </c>
    </row>
    <row r="282" spans="2:7">
      <c r="B282" s="39" t="s">
        <v>393</v>
      </c>
      <c r="C282" s="40">
        <v>46092</v>
      </c>
      <c r="D282" s="39">
        <v>103.08</v>
      </c>
      <c r="E282" s="39" t="s">
        <v>124</v>
      </c>
      <c r="F282" s="39" cm="1">
        <f t="array" ref="F282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1</v>
      </c>
      <c r="G282" s="39">
        <f>ROUNDUP(Table1[[#This Row],[Amount]]/Table1[[#This Row],[Exchange rate]],2)</f>
        <v>103.08</v>
      </c>
    </row>
    <row r="283" spans="2:7">
      <c r="B283" s="25" t="s">
        <v>394</v>
      </c>
      <c r="C283" s="32">
        <v>46092</v>
      </c>
      <c r="D283" s="41">
        <v>16814.990000000002</v>
      </c>
      <c r="E283" s="25" t="s">
        <v>110</v>
      </c>
      <c r="F283" s="25" cm="1">
        <f t="array" ref="F283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54.107599999999998</v>
      </c>
      <c r="G283" s="25">
        <f>ROUNDUP(Table1[[#This Row],[Amount]]/Table1[[#This Row],[Exchange rate]],2)</f>
        <v>310.77</v>
      </c>
    </row>
    <row r="284" spans="2:7">
      <c r="B284" s="39" t="s">
        <v>395</v>
      </c>
      <c r="C284" s="40">
        <v>46093</v>
      </c>
      <c r="D284" s="39">
        <v>148.61000000000001</v>
      </c>
      <c r="E284" s="39" t="s">
        <v>108</v>
      </c>
      <c r="F284" s="39" cm="1">
        <f t="array" ref="F284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0.84145000000000003</v>
      </c>
      <c r="G284" s="39">
        <f>ROUNDUP(Table1[[#This Row],[Amount]]/Table1[[#This Row],[Exchange rate]],2)</f>
        <v>176.62</v>
      </c>
    </row>
    <row r="285" spans="2:7">
      <c r="B285" s="25" t="s">
        <v>396</v>
      </c>
      <c r="C285" s="32">
        <v>46093</v>
      </c>
      <c r="D285" s="25">
        <v>106.17</v>
      </c>
      <c r="E285" s="25" t="s">
        <v>124</v>
      </c>
      <c r="F285" s="25" cm="1">
        <f t="array" ref="F285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1</v>
      </c>
      <c r="G285" s="25">
        <f>ROUNDUP(Table1[[#This Row],[Amount]]/Table1[[#This Row],[Exchange rate]],2)</f>
        <v>106.17</v>
      </c>
    </row>
    <row r="286" spans="2:7">
      <c r="B286" s="39" t="s">
        <v>397</v>
      </c>
      <c r="C286" s="40">
        <v>46093</v>
      </c>
      <c r="D286" s="42">
        <v>13115.7</v>
      </c>
      <c r="E286" s="39" t="s">
        <v>110</v>
      </c>
      <c r="F286" s="39" cm="1">
        <f t="array" ref="F286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54.107599999999998</v>
      </c>
      <c r="G286" s="39">
        <f>ROUNDUP(Table1[[#This Row],[Amount]]/Table1[[#This Row],[Exchange rate]],2)</f>
        <v>242.41</v>
      </c>
    </row>
    <row r="287" spans="2:7">
      <c r="B287" s="25" t="s">
        <v>398</v>
      </c>
      <c r="C287" s="32">
        <v>46094</v>
      </c>
      <c r="D287" s="41">
        <v>5876.04</v>
      </c>
      <c r="E287" s="25" t="s">
        <v>110</v>
      </c>
      <c r="F287" s="25" cm="1">
        <f t="array" ref="F287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53.984299999999998</v>
      </c>
      <c r="G287" s="25">
        <f>ROUNDUP(Table1[[#This Row],[Amount]]/Table1[[#This Row],[Exchange rate]],2)</f>
        <v>108.85000000000001</v>
      </c>
    </row>
    <row r="288" spans="2:7">
      <c r="B288" s="39" t="s">
        <v>399</v>
      </c>
      <c r="C288" s="40">
        <v>46094</v>
      </c>
      <c r="D288" s="39">
        <v>468.94</v>
      </c>
      <c r="E288" s="39" t="s">
        <v>124</v>
      </c>
      <c r="F288" s="39" cm="1">
        <f t="array" ref="F288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1</v>
      </c>
      <c r="G288" s="39">
        <f>ROUNDUP(Table1[[#This Row],[Amount]]/Table1[[#This Row],[Exchange rate]],2)</f>
        <v>468.94</v>
      </c>
    </row>
    <row r="289" spans="2:7">
      <c r="B289" s="25" t="s">
        <v>400</v>
      </c>
      <c r="C289" s="32">
        <v>46094</v>
      </c>
      <c r="D289" s="25">
        <v>275.63</v>
      </c>
      <c r="E289" s="25" t="s">
        <v>124</v>
      </c>
      <c r="F289" s="25" cm="1">
        <f t="array" ref="F289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1</v>
      </c>
      <c r="G289" s="25">
        <f>ROUNDUP(Table1[[#This Row],[Amount]]/Table1[[#This Row],[Exchange rate]],2)</f>
        <v>275.63</v>
      </c>
    </row>
    <row r="290" spans="2:7">
      <c r="B290" s="39" t="s">
        <v>401</v>
      </c>
      <c r="C290" s="40">
        <v>46094</v>
      </c>
      <c r="D290" s="39">
        <v>124.93</v>
      </c>
      <c r="E290" s="39" t="s">
        <v>109</v>
      </c>
      <c r="F290" s="39" cm="1">
        <f t="array" ref="F290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0.50814999999999999</v>
      </c>
      <c r="G290" s="39">
        <f>ROUNDUP(Table1[[#This Row],[Amount]]/Table1[[#This Row],[Exchange rate]],2)</f>
        <v>245.85999999999999</v>
      </c>
    </row>
    <row r="291" spans="2:7">
      <c r="B291" s="25" t="s">
        <v>402</v>
      </c>
      <c r="C291" s="32">
        <v>46095</v>
      </c>
      <c r="D291" s="25">
        <v>158.46</v>
      </c>
      <c r="E291" s="25" t="s">
        <v>108</v>
      </c>
      <c r="F291" s="25" cm="1">
        <f t="array" ref="F291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0.82645000000000002</v>
      </c>
      <c r="G291" s="25">
        <f>ROUNDUP(Table1[[#This Row],[Amount]]/Table1[[#This Row],[Exchange rate]],2)</f>
        <v>191.73999999999998</v>
      </c>
    </row>
    <row r="292" spans="2:7">
      <c r="B292" s="39" t="s">
        <v>403</v>
      </c>
      <c r="C292" s="40">
        <v>46095</v>
      </c>
      <c r="D292" s="39">
        <v>103.49</v>
      </c>
      <c r="E292" s="39" t="s">
        <v>124</v>
      </c>
      <c r="F292" s="39" cm="1">
        <f t="array" ref="F292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1</v>
      </c>
      <c r="G292" s="39">
        <f>ROUNDUP(Table1[[#This Row],[Amount]]/Table1[[#This Row],[Exchange rate]],2)</f>
        <v>103.49</v>
      </c>
    </row>
    <row r="293" spans="2:7">
      <c r="B293" s="25" t="s">
        <v>404</v>
      </c>
      <c r="C293" s="32">
        <v>46095</v>
      </c>
      <c r="D293" s="25">
        <v>82.24</v>
      </c>
      <c r="E293" s="25" t="s">
        <v>124</v>
      </c>
      <c r="F293" s="25" cm="1">
        <f t="array" ref="F293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1</v>
      </c>
      <c r="G293" s="25">
        <f>ROUNDUP(Table1[[#This Row],[Amount]]/Table1[[#This Row],[Exchange rate]],2)</f>
        <v>82.24</v>
      </c>
    </row>
    <row r="294" spans="2:7">
      <c r="B294" s="39" t="s">
        <v>405</v>
      </c>
      <c r="C294" s="40">
        <v>46095</v>
      </c>
      <c r="D294" s="39">
        <v>75.55</v>
      </c>
      <c r="E294" s="39" t="s">
        <v>124</v>
      </c>
      <c r="F294" s="39" cm="1">
        <f t="array" ref="F294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1</v>
      </c>
      <c r="G294" s="39">
        <f>ROUNDUP(Table1[[#This Row],[Amount]]/Table1[[#This Row],[Exchange rate]],2)</f>
        <v>75.55</v>
      </c>
    </row>
    <row r="295" spans="2:7">
      <c r="B295" s="25" t="s">
        <v>406</v>
      </c>
      <c r="C295" s="32">
        <v>46095</v>
      </c>
      <c r="D295" s="25">
        <v>107.44</v>
      </c>
      <c r="E295" s="25" t="s">
        <v>108</v>
      </c>
      <c r="F295" s="25" cm="1">
        <f t="array" ref="F295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0.82645000000000002</v>
      </c>
      <c r="G295" s="25">
        <f>ROUNDUP(Table1[[#This Row],[Amount]]/Table1[[#This Row],[Exchange rate]],2)</f>
        <v>130.01</v>
      </c>
    </row>
    <row r="296" spans="2:7">
      <c r="B296" s="39" t="s">
        <v>407</v>
      </c>
      <c r="C296" s="40">
        <v>46095</v>
      </c>
      <c r="D296" s="39">
        <v>363.95</v>
      </c>
      <c r="E296" s="39" t="s">
        <v>124</v>
      </c>
      <c r="F296" s="39" cm="1">
        <f t="array" ref="F296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1</v>
      </c>
      <c r="G296" s="39">
        <f>ROUNDUP(Table1[[#This Row],[Amount]]/Table1[[#This Row],[Exchange rate]],2)</f>
        <v>363.95</v>
      </c>
    </row>
    <row r="297" spans="2:7">
      <c r="B297" s="25" t="s">
        <v>408</v>
      </c>
      <c r="C297" s="32">
        <v>46096</v>
      </c>
      <c r="D297" s="25">
        <v>76.900000000000006</v>
      </c>
      <c r="E297" s="25" t="s">
        <v>124</v>
      </c>
      <c r="F297" s="25" cm="1">
        <f t="array" ref="F297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1</v>
      </c>
      <c r="G297" s="25">
        <f>ROUNDUP(Table1[[#This Row],[Amount]]/Table1[[#This Row],[Exchange rate]],2)</f>
        <v>76.900000000000006</v>
      </c>
    </row>
    <row r="298" spans="2:7">
      <c r="B298" s="39" t="s">
        <v>409</v>
      </c>
      <c r="C298" s="40">
        <v>46096</v>
      </c>
      <c r="D298" s="39">
        <v>191.1</v>
      </c>
      <c r="E298" s="39" t="s">
        <v>108</v>
      </c>
      <c r="F298" s="39" cm="1">
        <f t="array" ref="F298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0.82645000000000002</v>
      </c>
      <c r="G298" s="39">
        <f>ROUNDUP(Table1[[#This Row],[Amount]]/Table1[[#This Row],[Exchange rate]],2)</f>
        <v>231.23</v>
      </c>
    </row>
    <row r="299" spans="2:7">
      <c r="B299" s="25" t="s">
        <v>410</v>
      </c>
      <c r="C299" s="32">
        <v>46097</v>
      </c>
      <c r="D299" s="25">
        <v>301.92</v>
      </c>
      <c r="E299" s="25" t="s">
        <v>107</v>
      </c>
      <c r="F299" s="25" cm="1">
        <f t="array" ref="F299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0.58560000000000001</v>
      </c>
      <c r="G299" s="25">
        <f>ROUNDUP(Table1[[#This Row],[Amount]]/Table1[[#This Row],[Exchange rate]],2)</f>
        <v>515.58000000000004</v>
      </c>
    </row>
    <row r="300" spans="2:7">
      <c r="B300" s="39" t="s">
        <v>411</v>
      </c>
      <c r="C300" s="40">
        <v>46097</v>
      </c>
      <c r="D300" s="39">
        <v>81.39</v>
      </c>
      <c r="E300" s="39" t="s">
        <v>108</v>
      </c>
      <c r="F300" s="39" cm="1">
        <f t="array" ref="F300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0.82645000000000002</v>
      </c>
      <c r="G300" s="39">
        <f>ROUNDUP(Table1[[#This Row],[Amount]]/Table1[[#This Row],[Exchange rate]],2)</f>
        <v>98.490000000000009</v>
      </c>
    </row>
    <row r="301" spans="2:7">
      <c r="B301" s="25" t="s">
        <v>412</v>
      </c>
      <c r="C301" s="32">
        <v>46097</v>
      </c>
      <c r="D301" s="41">
        <v>5397.75</v>
      </c>
      <c r="E301" s="25" t="s">
        <v>110</v>
      </c>
      <c r="F301" s="25" cm="1">
        <f t="array" ref="F301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53.984299999999998</v>
      </c>
      <c r="G301" s="25">
        <f>ROUNDUP(Table1[[#This Row],[Amount]]/Table1[[#This Row],[Exchange rate]],2)</f>
        <v>99.990000000000009</v>
      </c>
    </row>
    <row r="302" spans="2:7">
      <c r="B302" s="39" t="s">
        <v>413</v>
      </c>
      <c r="C302" s="40">
        <v>46097</v>
      </c>
      <c r="D302" s="42">
        <v>20033.28</v>
      </c>
      <c r="E302" s="39" t="s">
        <v>110</v>
      </c>
      <c r="F302" s="39" cm="1">
        <f t="array" ref="F302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53.984299999999998</v>
      </c>
      <c r="G302" s="39">
        <f>ROUNDUP(Table1[[#This Row],[Amount]]/Table1[[#This Row],[Exchange rate]],2)</f>
        <v>371.09999999999997</v>
      </c>
    </row>
    <row r="303" spans="2:7">
      <c r="B303" s="25" t="s">
        <v>414</v>
      </c>
      <c r="C303" s="32">
        <v>46098</v>
      </c>
      <c r="D303" s="25">
        <v>350.19</v>
      </c>
      <c r="E303" s="25" t="s">
        <v>124</v>
      </c>
      <c r="F303" s="25" cm="1">
        <f t="array" ref="F303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1</v>
      </c>
      <c r="G303" s="25">
        <f>ROUNDUP(Table1[[#This Row],[Amount]]/Table1[[#This Row],[Exchange rate]],2)</f>
        <v>350.19</v>
      </c>
    </row>
    <row r="304" spans="2:7">
      <c r="B304" s="39" t="s">
        <v>415</v>
      </c>
      <c r="C304" s="40">
        <v>46098</v>
      </c>
      <c r="D304" s="39">
        <v>179.42</v>
      </c>
      <c r="E304" s="39" t="s">
        <v>107</v>
      </c>
      <c r="F304" s="39" cm="1">
        <f t="array" ref="F304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0.58560000000000001</v>
      </c>
      <c r="G304" s="39">
        <f>ROUNDUP(Table1[[#This Row],[Amount]]/Table1[[#This Row],[Exchange rate]],2)</f>
        <v>306.39</v>
      </c>
    </row>
    <row r="305" spans="2:7">
      <c r="B305" s="25" t="s">
        <v>416</v>
      </c>
      <c r="C305" s="32">
        <v>46098</v>
      </c>
      <c r="D305" s="25">
        <v>404.81</v>
      </c>
      <c r="E305" s="25" t="s">
        <v>124</v>
      </c>
      <c r="F305" s="25" cm="1">
        <f t="array" ref="F305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1</v>
      </c>
      <c r="G305" s="25">
        <f>ROUNDUP(Table1[[#This Row],[Amount]]/Table1[[#This Row],[Exchange rate]],2)</f>
        <v>404.81</v>
      </c>
    </row>
    <row r="306" spans="2:7">
      <c r="B306" s="39" t="s">
        <v>417</v>
      </c>
      <c r="C306" s="40">
        <v>46098</v>
      </c>
      <c r="D306" s="39">
        <v>448.25</v>
      </c>
      <c r="E306" s="39" t="s">
        <v>124</v>
      </c>
      <c r="F306" s="39" cm="1">
        <f t="array" ref="F306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1</v>
      </c>
      <c r="G306" s="39">
        <f>ROUNDUP(Table1[[#This Row],[Amount]]/Table1[[#This Row],[Exchange rate]],2)</f>
        <v>448.25</v>
      </c>
    </row>
    <row r="307" spans="2:7">
      <c r="B307" s="25" t="s">
        <v>418</v>
      </c>
      <c r="C307" s="32">
        <v>46099</v>
      </c>
      <c r="D307" s="25">
        <v>385.59</v>
      </c>
      <c r="E307" s="25" t="s">
        <v>124</v>
      </c>
      <c r="F307" s="25" cm="1">
        <f t="array" ref="F307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1</v>
      </c>
      <c r="G307" s="25">
        <f>ROUNDUP(Table1[[#This Row],[Amount]]/Table1[[#This Row],[Exchange rate]],2)</f>
        <v>385.59</v>
      </c>
    </row>
    <row r="308" spans="2:7">
      <c r="B308" s="39" t="s">
        <v>419</v>
      </c>
      <c r="C308" s="40">
        <v>46099</v>
      </c>
      <c r="D308" s="39">
        <v>347.61</v>
      </c>
      <c r="E308" s="39" t="s">
        <v>107</v>
      </c>
      <c r="F308" s="39" cm="1">
        <f t="array" ref="F308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0.58560000000000001</v>
      </c>
      <c r="G308" s="39">
        <f>ROUNDUP(Table1[[#This Row],[Amount]]/Table1[[#This Row],[Exchange rate]],2)</f>
        <v>593.6</v>
      </c>
    </row>
    <row r="309" spans="2:7">
      <c r="B309" s="25" t="s">
        <v>420</v>
      </c>
      <c r="C309" s="32">
        <v>46099</v>
      </c>
      <c r="D309" s="25">
        <v>121.17</v>
      </c>
      <c r="E309" s="25" t="s">
        <v>107</v>
      </c>
      <c r="F309" s="25" cm="1">
        <f t="array" ref="F309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0.58560000000000001</v>
      </c>
      <c r="G309" s="25">
        <f>ROUNDUP(Table1[[#This Row],[Amount]]/Table1[[#This Row],[Exchange rate]],2)</f>
        <v>206.92</v>
      </c>
    </row>
    <row r="310" spans="2:7">
      <c r="B310" s="39" t="s">
        <v>421</v>
      </c>
      <c r="C310" s="40">
        <v>46100</v>
      </c>
      <c r="D310" s="39">
        <v>194.51</v>
      </c>
      <c r="E310" s="39" t="s">
        <v>107</v>
      </c>
      <c r="F310" s="39" cm="1">
        <f t="array" ref="F310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0.58560000000000001</v>
      </c>
      <c r="G310" s="39">
        <f>ROUNDUP(Table1[[#This Row],[Amount]]/Table1[[#This Row],[Exchange rate]],2)</f>
        <v>332.15999999999997</v>
      </c>
    </row>
    <row r="311" spans="2:7">
      <c r="B311" s="25" t="s">
        <v>422</v>
      </c>
      <c r="C311" s="32">
        <v>46100</v>
      </c>
      <c r="D311" s="25">
        <v>409.04</v>
      </c>
      <c r="E311" s="25" t="s">
        <v>109</v>
      </c>
      <c r="F311" s="25" cm="1">
        <f t="array" ref="F311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0.50814999999999999</v>
      </c>
      <c r="G311" s="25">
        <f>ROUNDUP(Table1[[#This Row],[Amount]]/Table1[[#This Row],[Exchange rate]],2)</f>
        <v>804.96</v>
      </c>
    </row>
    <row r="312" spans="2:7">
      <c r="B312" s="39" t="s">
        <v>423</v>
      </c>
      <c r="C312" s="40">
        <v>46100</v>
      </c>
      <c r="D312" s="39">
        <v>293.02999999999997</v>
      </c>
      <c r="E312" s="39" t="s">
        <v>124</v>
      </c>
      <c r="F312" s="39" cm="1">
        <f t="array" ref="F312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1</v>
      </c>
      <c r="G312" s="39">
        <f>ROUNDUP(Table1[[#This Row],[Amount]]/Table1[[#This Row],[Exchange rate]],2)</f>
        <v>293.02999999999997</v>
      </c>
    </row>
    <row r="313" spans="2:7">
      <c r="B313" s="25" t="s">
        <v>424</v>
      </c>
      <c r="C313" s="32">
        <v>46101</v>
      </c>
      <c r="D313" s="25">
        <v>139.25</v>
      </c>
      <c r="E313" s="25" t="s">
        <v>109</v>
      </c>
      <c r="F313" s="25" cm="1">
        <f t="array" ref="F313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0.50814999999999999</v>
      </c>
      <c r="G313" s="25">
        <f>ROUNDUP(Table1[[#This Row],[Amount]]/Table1[[#This Row],[Exchange rate]],2)</f>
        <v>274.03999999999996</v>
      </c>
    </row>
    <row r="314" spans="2:7">
      <c r="B314" s="39" t="s">
        <v>425</v>
      </c>
      <c r="C314" s="40">
        <v>46101</v>
      </c>
      <c r="D314" s="42">
        <v>13608.8</v>
      </c>
      <c r="E314" s="39" t="s">
        <v>110</v>
      </c>
      <c r="F314" s="39" cm="1">
        <f t="array" ref="F314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54.484699999999997</v>
      </c>
      <c r="G314" s="39">
        <f>ROUNDUP(Table1[[#This Row],[Amount]]/Table1[[#This Row],[Exchange rate]],2)</f>
        <v>249.78</v>
      </c>
    </row>
    <row r="315" spans="2:7">
      <c r="B315" s="25" t="s">
        <v>426</v>
      </c>
      <c r="C315" s="32">
        <v>46101</v>
      </c>
      <c r="D315" s="25">
        <v>478.6</v>
      </c>
      <c r="E315" s="25" t="s">
        <v>108</v>
      </c>
      <c r="F315" s="25" cm="1">
        <f t="array" ref="F315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0.83045000000000002</v>
      </c>
      <c r="G315" s="25">
        <f>ROUNDUP(Table1[[#This Row],[Amount]]/Table1[[#This Row],[Exchange rate]],2)</f>
        <v>576.31999999999994</v>
      </c>
    </row>
    <row r="316" spans="2:7">
      <c r="B316" s="39" t="s">
        <v>427</v>
      </c>
      <c r="C316" s="40">
        <v>46101</v>
      </c>
      <c r="D316" s="39">
        <v>169.89</v>
      </c>
      <c r="E316" s="39" t="s">
        <v>109</v>
      </c>
      <c r="F316" s="39" cm="1">
        <f t="array" ref="F316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0.50814999999999999</v>
      </c>
      <c r="G316" s="39">
        <f>ROUNDUP(Table1[[#This Row],[Amount]]/Table1[[#This Row],[Exchange rate]],2)</f>
        <v>334.34</v>
      </c>
    </row>
    <row r="317" spans="2:7">
      <c r="B317" s="25" t="s">
        <v>428</v>
      </c>
      <c r="C317" s="32">
        <v>46102</v>
      </c>
      <c r="D317" s="25">
        <v>325.27</v>
      </c>
      <c r="E317" s="25" t="s">
        <v>107</v>
      </c>
      <c r="F317" s="25" cm="1">
        <f t="array" ref="F317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0.58814999999999995</v>
      </c>
      <c r="G317" s="25">
        <f>ROUNDUP(Table1[[#This Row],[Amount]]/Table1[[#This Row],[Exchange rate]],2)</f>
        <v>553.04</v>
      </c>
    </row>
    <row r="318" spans="2:7">
      <c r="B318" s="39" t="s">
        <v>429</v>
      </c>
      <c r="C318" s="40">
        <v>46102</v>
      </c>
      <c r="D318" s="39">
        <v>361.74</v>
      </c>
      <c r="E318" s="39" t="s">
        <v>124</v>
      </c>
      <c r="F318" s="39" cm="1">
        <f t="array" ref="F318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1</v>
      </c>
      <c r="G318" s="39">
        <f>ROUNDUP(Table1[[#This Row],[Amount]]/Table1[[#This Row],[Exchange rate]],2)</f>
        <v>361.74</v>
      </c>
    </row>
    <row r="319" spans="2:7">
      <c r="B319" s="25" t="s">
        <v>430</v>
      </c>
      <c r="C319" s="32">
        <v>46102</v>
      </c>
      <c r="D319" s="25">
        <v>488.33</v>
      </c>
      <c r="E319" s="25" t="s">
        <v>124</v>
      </c>
      <c r="F319" s="25" cm="1">
        <f t="array" ref="F319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1</v>
      </c>
      <c r="G319" s="25">
        <f>ROUNDUP(Table1[[#This Row],[Amount]]/Table1[[#This Row],[Exchange rate]],2)</f>
        <v>488.33</v>
      </c>
    </row>
    <row r="320" spans="2:7">
      <c r="B320" s="39" t="s">
        <v>431</v>
      </c>
      <c r="C320" s="40">
        <v>46102</v>
      </c>
      <c r="D320" s="39">
        <v>425.3</v>
      </c>
      <c r="E320" s="39" t="s">
        <v>107</v>
      </c>
      <c r="F320" s="39" cm="1">
        <f t="array" ref="F320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0.58814999999999995</v>
      </c>
      <c r="G320" s="39">
        <f>ROUNDUP(Table1[[#This Row],[Amount]]/Table1[[#This Row],[Exchange rate]],2)</f>
        <v>723.12</v>
      </c>
    </row>
    <row r="321" spans="2:7">
      <c r="B321" s="25" t="s">
        <v>432</v>
      </c>
      <c r="C321" s="32">
        <v>46102</v>
      </c>
      <c r="D321" s="25">
        <v>273.23</v>
      </c>
      <c r="E321" s="25" t="s">
        <v>109</v>
      </c>
      <c r="F321" s="25" cm="1">
        <f t="array" ref="F321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0.50814999999999999</v>
      </c>
      <c r="G321" s="25">
        <f>ROUNDUP(Table1[[#This Row],[Amount]]/Table1[[#This Row],[Exchange rate]],2)</f>
        <v>537.70000000000005</v>
      </c>
    </row>
    <row r="322" spans="2:7">
      <c r="B322" s="39" t="s">
        <v>433</v>
      </c>
      <c r="C322" s="40">
        <v>46102</v>
      </c>
      <c r="D322" s="39">
        <v>451.73</v>
      </c>
      <c r="E322" s="39" t="s">
        <v>107</v>
      </c>
      <c r="F322" s="39" cm="1">
        <f t="array" ref="F322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0.58814999999999995</v>
      </c>
      <c r="G322" s="39">
        <f>ROUNDUP(Table1[[#This Row],[Amount]]/Table1[[#This Row],[Exchange rate]],2)</f>
        <v>768.06</v>
      </c>
    </row>
    <row r="323" spans="2:7">
      <c r="B323" s="25" t="s">
        <v>434</v>
      </c>
      <c r="C323" s="32">
        <v>46103</v>
      </c>
      <c r="D323" s="25">
        <v>156.47999999999999</v>
      </c>
      <c r="E323" s="25" t="s">
        <v>109</v>
      </c>
      <c r="F323" s="25" cm="1">
        <f t="array" ref="F323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0.50814999999999999</v>
      </c>
      <c r="G323" s="25">
        <f>ROUNDUP(Table1[[#This Row],[Amount]]/Table1[[#This Row],[Exchange rate]],2)</f>
        <v>307.95</v>
      </c>
    </row>
    <row r="324" spans="2:7">
      <c r="B324" s="39" t="s">
        <v>435</v>
      </c>
      <c r="C324" s="40">
        <v>46103</v>
      </c>
      <c r="D324" s="39">
        <v>77.84</v>
      </c>
      <c r="E324" s="39" t="s">
        <v>109</v>
      </c>
      <c r="F324" s="39" cm="1">
        <f t="array" ref="F324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0.50814999999999999</v>
      </c>
      <c r="G324" s="39">
        <f>ROUNDUP(Table1[[#This Row],[Amount]]/Table1[[#This Row],[Exchange rate]],2)</f>
        <v>153.19</v>
      </c>
    </row>
    <row r="325" spans="2:7">
      <c r="B325" s="25" t="s">
        <v>436</v>
      </c>
      <c r="C325" s="32">
        <v>46103</v>
      </c>
      <c r="D325" s="25">
        <v>102.61</v>
      </c>
      <c r="E325" s="25" t="s">
        <v>124</v>
      </c>
      <c r="F325" s="25" cm="1">
        <f t="array" ref="F325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1</v>
      </c>
      <c r="G325" s="25">
        <f>ROUNDUP(Table1[[#This Row],[Amount]]/Table1[[#This Row],[Exchange rate]],2)</f>
        <v>102.61</v>
      </c>
    </row>
    <row r="326" spans="2:7">
      <c r="B326" s="39" t="s">
        <v>437</v>
      </c>
      <c r="C326" s="40">
        <v>46104</v>
      </c>
      <c r="D326" s="39">
        <v>87.54</v>
      </c>
      <c r="E326" s="39" t="s">
        <v>109</v>
      </c>
      <c r="F326" s="39" cm="1">
        <f t="array" ref="F326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0.50814999999999999</v>
      </c>
      <c r="G326" s="39">
        <f>ROUNDUP(Table1[[#This Row],[Amount]]/Table1[[#This Row],[Exchange rate]],2)</f>
        <v>172.28</v>
      </c>
    </row>
    <row r="327" spans="2:7">
      <c r="B327" s="25" t="s">
        <v>438</v>
      </c>
      <c r="C327" s="32">
        <v>46104</v>
      </c>
      <c r="D327" s="25">
        <v>412.45</v>
      </c>
      <c r="E327" s="25" t="s">
        <v>107</v>
      </c>
      <c r="F327" s="25" cm="1">
        <f t="array" ref="F327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0.58814999999999995</v>
      </c>
      <c r="G327" s="25">
        <f>ROUNDUP(Table1[[#This Row],[Amount]]/Table1[[#This Row],[Exchange rate]],2)</f>
        <v>701.27</v>
      </c>
    </row>
    <row r="328" spans="2:7">
      <c r="B328" s="39" t="s">
        <v>439</v>
      </c>
      <c r="C328" s="40">
        <v>46104</v>
      </c>
      <c r="D328" s="39">
        <v>438.25</v>
      </c>
      <c r="E328" s="39" t="s">
        <v>124</v>
      </c>
      <c r="F328" s="39" cm="1">
        <f t="array" ref="F328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1</v>
      </c>
      <c r="G328" s="39">
        <f>ROUNDUP(Table1[[#This Row],[Amount]]/Table1[[#This Row],[Exchange rate]],2)</f>
        <v>438.25</v>
      </c>
    </row>
    <row r="329" spans="2:7">
      <c r="B329" s="25" t="s">
        <v>440</v>
      </c>
      <c r="C329" s="32">
        <v>46104</v>
      </c>
      <c r="D329" s="41">
        <v>24327.98</v>
      </c>
      <c r="E329" s="25" t="s">
        <v>110</v>
      </c>
      <c r="F329" s="25" cm="1">
        <f t="array" ref="F329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54.484699999999997</v>
      </c>
      <c r="G329" s="25">
        <f>ROUNDUP(Table1[[#This Row],[Amount]]/Table1[[#This Row],[Exchange rate]],2)</f>
        <v>446.52</v>
      </c>
    </row>
    <row r="330" spans="2:7">
      <c r="B330" s="39" t="s">
        <v>441</v>
      </c>
      <c r="C330" s="40">
        <v>46105</v>
      </c>
      <c r="D330" s="42">
        <v>6666.4</v>
      </c>
      <c r="E330" s="39" t="s">
        <v>110</v>
      </c>
      <c r="F330" s="39" cm="1">
        <f t="array" ref="F330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54.484699999999997</v>
      </c>
      <c r="G330" s="39">
        <f>ROUNDUP(Table1[[#This Row],[Amount]]/Table1[[#This Row],[Exchange rate]],2)</f>
        <v>122.36</v>
      </c>
    </row>
    <row r="331" spans="2:7">
      <c r="B331" s="25" t="s">
        <v>442</v>
      </c>
      <c r="C331" s="32">
        <v>46105</v>
      </c>
      <c r="D331" s="25">
        <v>191.21</v>
      </c>
      <c r="E331" s="25" t="s">
        <v>109</v>
      </c>
      <c r="F331" s="25" cm="1">
        <f t="array" ref="F331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0.50814999999999999</v>
      </c>
      <c r="G331" s="25">
        <f>ROUNDUP(Table1[[#This Row],[Amount]]/Table1[[#This Row],[Exchange rate]],2)</f>
        <v>376.28999999999996</v>
      </c>
    </row>
    <row r="332" spans="2:7">
      <c r="B332" s="39" t="s">
        <v>443</v>
      </c>
      <c r="C332" s="40">
        <v>46105</v>
      </c>
      <c r="D332" s="39">
        <v>155.30000000000001</v>
      </c>
      <c r="E332" s="39" t="s">
        <v>107</v>
      </c>
      <c r="F332" s="39" cm="1">
        <f t="array" ref="F332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0.58814999999999995</v>
      </c>
      <c r="G332" s="39">
        <f>ROUNDUP(Table1[[#This Row],[Amount]]/Table1[[#This Row],[Exchange rate]],2)</f>
        <v>264.05</v>
      </c>
    </row>
    <row r="333" spans="2:7">
      <c r="B333" s="25" t="s">
        <v>444</v>
      </c>
      <c r="C333" s="32">
        <v>46105</v>
      </c>
      <c r="D333" s="25">
        <v>70.180000000000007</v>
      </c>
      <c r="E333" s="25" t="s">
        <v>108</v>
      </c>
      <c r="F333" s="25" cm="1">
        <f t="array" ref="F333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0.83045000000000002</v>
      </c>
      <c r="G333" s="25">
        <f>ROUNDUP(Table1[[#This Row],[Amount]]/Table1[[#This Row],[Exchange rate]],2)</f>
        <v>84.51</v>
      </c>
    </row>
    <row r="334" spans="2:7">
      <c r="B334" s="39" t="s">
        <v>445</v>
      </c>
      <c r="C334" s="40">
        <v>46106</v>
      </c>
      <c r="D334" s="39">
        <v>282.45999999999998</v>
      </c>
      <c r="E334" s="39" t="s">
        <v>108</v>
      </c>
      <c r="F334" s="39" cm="1">
        <f t="array" ref="F334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0.83045000000000002</v>
      </c>
      <c r="G334" s="39">
        <f>ROUNDUP(Table1[[#This Row],[Amount]]/Table1[[#This Row],[Exchange rate]],2)</f>
        <v>340.13</v>
      </c>
    </row>
    <row r="335" spans="2:7">
      <c r="B335" s="25" t="s">
        <v>446</v>
      </c>
      <c r="C335" s="32">
        <v>46106</v>
      </c>
      <c r="D335" s="41">
        <v>5169.28</v>
      </c>
      <c r="E335" s="25" t="s">
        <v>110</v>
      </c>
      <c r="F335" s="25" cm="1">
        <f t="array" ref="F335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54.484699999999997</v>
      </c>
      <c r="G335" s="25">
        <f>ROUNDUP(Table1[[#This Row],[Amount]]/Table1[[#This Row],[Exchange rate]],2)</f>
        <v>94.88000000000001</v>
      </c>
    </row>
    <row r="336" spans="2:7">
      <c r="B336" s="39" t="s">
        <v>447</v>
      </c>
      <c r="C336" s="40">
        <v>46106</v>
      </c>
      <c r="D336" s="42">
        <v>20375.68</v>
      </c>
      <c r="E336" s="39" t="s">
        <v>110</v>
      </c>
      <c r="F336" s="39" cm="1">
        <f t="array" ref="F336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54.484699999999997</v>
      </c>
      <c r="G336" s="39">
        <f>ROUNDUP(Table1[[#This Row],[Amount]]/Table1[[#This Row],[Exchange rate]],2)</f>
        <v>373.98</v>
      </c>
    </row>
    <row r="337" spans="2:7">
      <c r="B337" s="25" t="s">
        <v>448</v>
      </c>
      <c r="C337" s="32">
        <v>46106</v>
      </c>
      <c r="D337" s="41">
        <v>35416.620000000003</v>
      </c>
      <c r="E337" s="25" t="s">
        <v>110</v>
      </c>
      <c r="F337" s="25" cm="1">
        <f t="array" ref="F337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54.484699999999997</v>
      </c>
      <c r="G337" s="25">
        <f>ROUNDUP(Table1[[#This Row],[Amount]]/Table1[[#This Row],[Exchange rate]],2)</f>
        <v>650.03</v>
      </c>
    </row>
    <row r="338" spans="2:7">
      <c r="B338" s="39" t="s">
        <v>449</v>
      </c>
      <c r="C338" s="40">
        <v>46107</v>
      </c>
      <c r="D338" s="39">
        <v>499.75</v>
      </c>
      <c r="E338" s="39" t="s">
        <v>108</v>
      </c>
      <c r="F338" s="39" cm="1">
        <f t="array" ref="F338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0.83045000000000002</v>
      </c>
      <c r="G338" s="39">
        <f>ROUNDUP(Table1[[#This Row],[Amount]]/Table1[[#This Row],[Exchange rate]],2)</f>
        <v>601.79</v>
      </c>
    </row>
    <row r="339" spans="2:7">
      <c r="B339" s="25" t="s">
        <v>450</v>
      </c>
      <c r="C339" s="32">
        <v>46107</v>
      </c>
      <c r="D339" s="41">
        <v>36788.22</v>
      </c>
      <c r="E339" s="25" t="s">
        <v>110</v>
      </c>
      <c r="F339" s="25" cm="1">
        <f t="array" ref="F339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54.484699999999997</v>
      </c>
      <c r="G339" s="25">
        <f>ROUNDUP(Table1[[#This Row],[Amount]]/Table1[[#This Row],[Exchange rate]],2)</f>
        <v>675.21</v>
      </c>
    </row>
    <row r="340" spans="2:7">
      <c r="B340" s="39" t="s">
        <v>451</v>
      </c>
      <c r="C340" s="40">
        <v>46108</v>
      </c>
      <c r="D340" s="39">
        <v>243.2</v>
      </c>
      <c r="E340" s="39" t="s">
        <v>108</v>
      </c>
      <c r="F340" s="39" cm="1">
        <f t="array" ref="F340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0.83730000000000004</v>
      </c>
      <c r="G340" s="39">
        <f>ROUNDUP(Table1[[#This Row],[Amount]]/Table1[[#This Row],[Exchange rate]],2)</f>
        <v>290.45999999999998</v>
      </c>
    </row>
    <row r="341" spans="2:7">
      <c r="B341" s="25" t="s">
        <v>452</v>
      </c>
      <c r="C341" s="32">
        <v>46108</v>
      </c>
      <c r="D341" s="25">
        <v>319.82</v>
      </c>
      <c r="E341" s="25" t="s">
        <v>107</v>
      </c>
      <c r="F341" s="25" cm="1">
        <f t="array" ref="F341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0.57565</v>
      </c>
      <c r="G341" s="25">
        <f>ROUNDUP(Table1[[#This Row],[Amount]]/Table1[[#This Row],[Exchange rate]],2)</f>
        <v>555.59</v>
      </c>
    </row>
    <row r="342" spans="2:7">
      <c r="B342" s="39" t="s">
        <v>453</v>
      </c>
      <c r="C342" s="40">
        <v>46108</v>
      </c>
      <c r="D342" s="39">
        <v>493.57</v>
      </c>
      <c r="E342" s="39" t="s">
        <v>108</v>
      </c>
      <c r="F342" s="39" cm="1">
        <f t="array" ref="F342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0.83730000000000004</v>
      </c>
      <c r="G342" s="39">
        <f>ROUNDUP(Table1[[#This Row],[Amount]]/Table1[[#This Row],[Exchange rate]],2)</f>
        <v>589.48</v>
      </c>
    </row>
    <row r="343" spans="2:7">
      <c r="B343" s="25" t="s">
        <v>454</v>
      </c>
      <c r="C343" s="32">
        <v>46108</v>
      </c>
      <c r="D343" s="41">
        <v>23830.2</v>
      </c>
      <c r="E343" s="25" t="s">
        <v>110</v>
      </c>
      <c r="F343" s="25" cm="1">
        <f t="array" ref="F343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54.095300000000002</v>
      </c>
      <c r="G343" s="25">
        <f>ROUNDUP(Table1[[#This Row],[Amount]]/Table1[[#This Row],[Exchange rate]],2)</f>
        <v>440.53</v>
      </c>
    </row>
    <row r="344" spans="2:7">
      <c r="B344" s="39" t="s">
        <v>455</v>
      </c>
      <c r="C344" s="40">
        <v>46109</v>
      </c>
      <c r="D344" s="39">
        <v>349.37</v>
      </c>
      <c r="E344" s="39" t="s">
        <v>108</v>
      </c>
      <c r="F344" s="39" cm="1">
        <f t="array" ref="F344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0.83730000000000004</v>
      </c>
      <c r="G344" s="39">
        <f>ROUNDUP(Table1[[#This Row],[Amount]]/Table1[[#This Row],[Exchange rate]],2)</f>
        <v>417.26</v>
      </c>
    </row>
    <row r="345" spans="2:7">
      <c r="B345" s="25" t="s">
        <v>456</v>
      </c>
      <c r="C345" s="32">
        <v>46109</v>
      </c>
      <c r="D345" s="25">
        <v>416.17</v>
      </c>
      <c r="E345" s="25" t="s">
        <v>109</v>
      </c>
      <c r="F345" s="25" cm="1">
        <f t="array" ref="F345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0.49919999999999998</v>
      </c>
      <c r="G345" s="25">
        <f>ROUNDUP(Table1[[#This Row],[Amount]]/Table1[[#This Row],[Exchange rate]],2)</f>
        <v>833.68</v>
      </c>
    </row>
    <row r="346" spans="2:7">
      <c r="B346" s="39" t="s">
        <v>457</v>
      </c>
      <c r="C346" s="40">
        <v>46109</v>
      </c>
      <c r="D346" s="42">
        <v>18182.84</v>
      </c>
      <c r="E346" s="39" t="s">
        <v>110</v>
      </c>
      <c r="F346" s="39" cm="1">
        <f t="array" ref="F346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54.095300000000002</v>
      </c>
      <c r="G346" s="39">
        <f>ROUNDUP(Table1[[#This Row],[Amount]]/Table1[[#This Row],[Exchange rate]],2)</f>
        <v>336.13</v>
      </c>
    </row>
    <row r="347" spans="2:7">
      <c r="B347" s="25" t="s">
        <v>458</v>
      </c>
      <c r="C347" s="32">
        <v>46109</v>
      </c>
      <c r="D347" s="25">
        <v>117.1</v>
      </c>
      <c r="E347" s="25" t="s">
        <v>124</v>
      </c>
      <c r="F347" s="25" cm="1">
        <f t="array" ref="F347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1</v>
      </c>
      <c r="G347" s="25">
        <f>ROUNDUP(Table1[[#This Row],[Amount]]/Table1[[#This Row],[Exchange rate]],2)</f>
        <v>117.1</v>
      </c>
    </row>
    <row r="348" spans="2:7">
      <c r="B348" s="39" t="s">
        <v>459</v>
      </c>
      <c r="C348" s="40">
        <v>46109</v>
      </c>
      <c r="D348" s="39">
        <v>106.97</v>
      </c>
      <c r="E348" s="39" t="s">
        <v>107</v>
      </c>
      <c r="F348" s="39" cm="1">
        <f t="array" ref="F348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0.57565</v>
      </c>
      <c r="G348" s="39">
        <f>ROUNDUP(Table1[[#This Row],[Amount]]/Table1[[#This Row],[Exchange rate]],2)</f>
        <v>185.82999999999998</v>
      </c>
    </row>
    <row r="349" spans="2:7">
      <c r="B349" s="25" t="s">
        <v>460</v>
      </c>
      <c r="C349" s="32">
        <v>46110</v>
      </c>
      <c r="D349" s="25">
        <v>472.5</v>
      </c>
      <c r="E349" s="25" t="s">
        <v>107</v>
      </c>
      <c r="F349" s="25" cm="1">
        <f t="array" ref="F349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0.57565</v>
      </c>
      <c r="G349" s="25">
        <f>ROUNDUP(Table1[[#This Row],[Amount]]/Table1[[#This Row],[Exchange rate]],2)</f>
        <v>820.81999999999994</v>
      </c>
    </row>
    <row r="350" spans="2:7">
      <c r="B350" s="39" t="s">
        <v>461</v>
      </c>
      <c r="C350" s="40">
        <v>46110</v>
      </c>
      <c r="D350" s="39">
        <v>92.94</v>
      </c>
      <c r="E350" s="39" t="s">
        <v>109</v>
      </c>
      <c r="F350" s="39" cm="1">
        <f t="array" ref="F350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0.49919999999999998</v>
      </c>
      <c r="G350" s="39">
        <f>ROUNDUP(Table1[[#This Row],[Amount]]/Table1[[#This Row],[Exchange rate]],2)</f>
        <v>186.17999999999998</v>
      </c>
    </row>
    <row r="351" spans="2:7">
      <c r="B351" s="25" t="s">
        <v>462</v>
      </c>
      <c r="C351" s="32">
        <v>46110</v>
      </c>
      <c r="D351" s="41">
        <v>29039.34</v>
      </c>
      <c r="E351" s="25" t="s">
        <v>110</v>
      </c>
      <c r="F351" s="25" cm="1">
        <f t="array" ref="F351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54.095300000000002</v>
      </c>
      <c r="G351" s="25">
        <f>ROUNDUP(Table1[[#This Row],[Amount]]/Table1[[#This Row],[Exchange rate]],2)</f>
        <v>536.81999999999994</v>
      </c>
    </row>
    <row r="352" spans="2:7">
      <c r="B352" s="39" t="s">
        <v>463</v>
      </c>
      <c r="C352" s="40">
        <v>46111</v>
      </c>
      <c r="D352" s="39">
        <v>387.32</v>
      </c>
      <c r="E352" s="39" t="s">
        <v>124</v>
      </c>
      <c r="F352" s="39" cm="1">
        <f t="array" ref="F352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1</v>
      </c>
      <c r="G352" s="39">
        <f>ROUNDUP(Table1[[#This Row],[Amount]]/Table1[[#This Row],[Exchange rate]],2)</f>
        <v>387.32</v>
      </c>
    </row>
    <row r="353" spans="2:7">
      <c r="B353" s="25" t="s">
        <v>464</v>
      </c>
      <c r="C353" s="32">
        <v>46111</v>
      </c>
      <c r="D353" s="25">
        <v>378.97</v>
      </c>
      <c r="E353" s="25" t="s">
        <v>124</v>
      </c>
      <c r="F353" s="25" cm="1">
        <f t="array" ref="F353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1</v>
      </c>
      <c r="G353" s="25">
        <f>ROUNDUP(Table1[[#This Row],[Amount]]/Table1[[#This Row],[Exchange rate]],2)</f>
        <v>378.97</v>
      </c>
    </row>
    <row r="354" spans="2:7">
      <c r="B354" s="39" t="s">
        <v>465</v>
      </c>
      <c r="C354" s="40">
        <v>46111</v>
      </c>
      <c r="D354" s="39">
        <v>266.41000000000003</v>
      </c>
      <c r="E354" s="39" t="s">
        <v>107</v>
      </c>
      <c r="F354" s="39" cm="1">
        <f t="array" ref="F354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0.57565</v>
      </c>
      <c r="G354" s="39">
        <f>ROUNDUP(Table1[[#This Row],[Amount]]/Table1[[#This Row],[Exchange rate]],2)</f>
        <v>462.8</v>
      </c>
    </row>
    <row r="355" spans="2:7">
      <c r="B355" s="25" t="s">
        <v>466</v>
      </c>
      <c r="C355" s="32">
        <v>46111</v>
      </c>
      <c r="D355" s="25">
        <v>310.88</v>
      </c>
      <c r="E355" s="25" t="s">
        <v>124</v>
      </c>
      <c r="F355" s="25" cm="1">
        <f t="array" ref="F355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1</v>
      </c>
      <c r="G355" s="25">
        <f>ROUNDUP(Table1[[#This Row],[Amount]]/Table1[[#This Row],[Exchange rate]],2)</f>
        <v>310.88</v>
      </c>
    </row>
    <row r="356" spans="2:7">
      <c r="B356" s="39" t="s">
        <v>467</v>
      </c>
      <c r="C356" s="40">
        <v>46112</v>
      </c>
      <c r="D356" s="39">
        <v>440.12</v>
      </c>
      <c r="E356" s="39" t="s">
        <v>108</v>
      </c>
      <c r="F356" s="39" cm="1">
        <f t="array" ref="F356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0.83465</v>
      </c>
      <c r="G356" s="39">
        <f>ROUNDUP(Table1[[#This Row],[Amount]]/Table1[[#This Row],[Exchange rate]],2)</f>
        <v>527.31999999999994</v>
      </c>
    </row>
    <row r="357" spans="2:7">
      <c r="B357" s="25" t="s">
        <v>468</v>
      </c>
      <c r="C357" s="32">
        <v>46112</v>
      </c>
      <c r="D357" s="25">
        <v>293.05</v>
      </c>
      <c r="E357" s="25" t="s">
        <v>108</v>
      </c>
      <c r="F357" s="25" cm="1">
        <f t="array" ref="F357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0.83465</v>
      </c>
      <c r="G357" s="25">
        <f>ROUNDUP(Table1[[#This Row],[Amount]]/Table1[[#This Row],[Exchange rate]],2)</f>
        <v>351.11</v>
      </c>
    </row>
    <row r="358" spans="2:7">
      <c r="B358" s="39" t="s">
        <v>469</v>
      </c>
      <c r="C358" s="40">
        <v>46112</v>
      </c>
      <c r="D358" s="39">
        <v>360.78</v>
      </c>
      <c r="E358" s="39" t="s">
        <v>124</v>
      </c>
      <c r="F358" s="39" cm="1">
        <f t="array" ref="F358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1</v>
      </c>
      <c r="G358" s="39">
        <f>ROUNDUP(Table1[[#This Row],[Amount]]/Table1[[#This Row],[Exchange rate]],2)</f>
        <v>360.78</v>
      </c>
    </row>
    <row r="359" spans="2:7">
      <c r="B359" s="25" t="s">
        <v>470</v>
      </c>
      <c r="C359" s="32">
        <v>46113</v>
      </c>
      <c r="D359" s="25">
        <v>112.21</v>
      </c>
      <c r="E359" s="25" t="s">
        <v>108</v>
      </c>
      <c r="F359" s="25" cm="1">
        <f t="array" ref="F359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0.83465</v>
      </c>
      <c r="G359" s="25">
        <f>ROUNDUP(Table1[[#This Row],[Amount]]/Table1[[#This Row],[Exchange rate]],2)</f>
        <v>134.44</v>
      </c>
    </row>
    <row r="360" spans="2:7">
      <c r="B360" s="39" t="s">
        <v>471</v>
      </c>
      <c r="C360" s="40">
        <v>46113</v>
      </c>
      <c r="D360" s="39">
        <v>387.68</v>
      </c>
      <c r="E360" s="39" t="s">
        <v>107</v>
      </c>
      <c r="F360" s="39" cm="1">
        <f t="array" ref="F360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0.57235000000000003</v>
      </c>
      <c r="G360" s="39">
        <f>ROUNDUP(Table1[[#This Row],[Amount]]/Table1[[#This Row],[Exchange rate]],2)</f>
        <v>677.35</v>
      </c>
    </row>
    <row r="361" spans="2:7">
      <c r="B361" s="25" t="s">
        <v>472</v>
      </c>
      <c r="C361" s="32">
        <v>46113</v>
      </c>
      <c r="D361" s="25">
        <v>325.38</v>
      </c>
      <c r="E361" s="25" t="s">
        <v>107</v>
      </c>
      <c r="F361" s="25" cm="1">
        <f t="array" ref="F361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0.57235000000000003</v>
      </c>
      <c r="G361" s="25">
        <f>ROUNDUP(Table1[[#This Row],[Amount]]/Table1[[#This Row],[Exchange rate]],2)</f>
        <v>568.5</v>
      </c>
    </row>
    <row r="362" spans="2:7">
      <c r="B362" s="39" t="s">
        <v>473</v>
      </c>
      <c r="C362" s="40">
        <v>46114</v>
      </c>
      <c r="D362" s="42">
        <v>21190.959999999999</v>
      </c>
      <c r="E362" s="39" t="s">
        <v>110</v>
      </c>
      <c r="F362" s="39" cm="1">
        <f t="array" ref="F362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54.286700000000003</v>
      </c>
      <c r="G362" s="39">
        <f>ROUNDUP(Table1[[#This Row],[Amount]]/Table1[[#This Row],[Exchange rate]],2)</f>
        <v>390.36</v>
      </c>
    </row>
    <row r="363" spans="2:7">
      <c r="B363" s="25" t="s">
        <v>474</v>
      </c>
      <c r="C363" s="32">
        <v>46114</v>
      </c>
      <c r="D363" s="25">
        <v>192.86</v>
      </c>
      <c r="E363" s="25" t="s">
        <v>124</v>
      </c>
      <c r="F363" s="25" cm="1">
        <f t="array" ref="F363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1</v>
      </c>
      <c r="G363" s="25">
        <f>ROUNDUP(Table1[[#This Row],[Amount]]/Table1[[#This Row],[Exchange rate]],2)</f>
        <v>192.86</v>
      </c>
    </row>
    <row r="364" spans="2:7">
      <c r="B364" s="39" t="s">
        <v>475</v>
      </c>
      <c r="C364" s="40">
        <v>46114</v>
      </c>
      <c r="D364" s="39">
        <v>393.07</v>
      </c>
      <c r="E364" s="39" t="s">
        <v>108</v>
      </c>
      <c r="F364" s="39" cm="1">
        <f t="array" ref="F364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0.83465</v>
      </c>
      <c r="G364" s="39">
        <f>ROUNDUP(Table1[[#This Row],[Amount]]/Table1[[#This Row],[Exchange rate]],2)</f>
        <v>470.94</v>
      </c>
    </row>
    <row r="365" spans="2:7">
      <c r="B365" s="25" t="s">
        <v>476</v>
      </c>
      <c r="C365" s="32">
        <v>46114</v>
      </c>
      <c r="D365" s="25">
        <v>226.12</v>
      </c>
      <c r="E365" s="25" t="s">
        <v>108</v>
      </c>
      <c r="F365" s="25" cm="1">
        <f t="array" ref="F365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0.83465</v>
      </c>
      <c r="G365" s="25">
        <f>ROUNDUP(Table1[[#This Row],[Amount]]/Table1[[#This Row],[Exchange rate]],2)</f>
        <v>270.92</v>
      </c>
    </row>
    <row r="366" spans="2:7">
      <c r="B366" s="39" t="s">
        <v>477</v>
      </c>
      <c r="C366" s="40">
        <v>46115</v>
      </c>
      <c r="D366" s="39">
        <v>286.10000000000002</v>
      </c>
      <c r="E366" s="39" t="s">
        <v>108</v>
      </c>
      <c r="F366" s="39" cm="1">
        <f t="array" ref="F366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0.83465</v>
      </c>
      <c r="G366" s="39">
        <f>ROUNDUP(Table1[[#This Row],[Amount]]/Table1[[#This Row],[Exchange rate]],2)</f>
        <v>342.78</v>
      </c>
    </row>
    <row r="367" spans="2:7">
      <c r="B367" s="25" t="s">
        <v>478</v>
      </c>
      <c r="C367" s="32">
        <v>46115</v>
      </c>
      <c r="D367" s="25">
        <v>240.37</v>
      </c>
      <c r="E367" s="25" t="s">
        <v>109</v>
      </c>
      <c r="F367" s="25" cm="1">
        <f t="array" ref="F367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0.49875000000000003</v>
      </c>
      <c r="G367" s="25">
        <f>ROUNDUP(Table1[[#This Row],[Amount]]/Table1[[#This Row],[Exchange rate]],2)</f>
        <v>481.95</v>
      </c>
    </row>
    <row r="368" spans="2:7">
      <c r="B368" s="39" t="s">
        <v>479</v>
      </c>
      <c r="C368" s="40">
        <v>46115</v>
      </c>
      <c r="D368" s="39">
        <v>317.99</v>
      </c>
      <c r="E368" s="39" t="s">
        <v>107</v>
      </c>
      <c r="F368" s="39" cm="1">
        <f t="array" ref="F368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0.57235000000000003</v>
      </c>
      <c r="G368" s="39">
        <f>ROUNDUP(Table1[[#This Row],[Amount]]/Table1[[#This Row],[Exchange rate]],2)</f>
        <v>555.59</v>
      </c>
    </row>
    <row r="369" spans="2:7">
      <c r="B369" s="25" t="s">
        <v>480</v>
      </c>
      <c r="C369" s="32">
        <v>46115</v>
      </c>
      <c r="D369" s="25">
        <v>425.48</v>
      </c>
      <c r="E369" s="25" t="s">
        <v>109</v>
      </c>
      <c r="F369" s="25" cm="1">
        <f t="array" ref="F369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0.49875000000000003</v>
      </c>
      <c r="G369" s="25">
        <f>ROUNDUP(Table1[[#This Row],[Amount]]/Table1[[#This Row],[Exchange rate]],2)</f>
        <v>853.1</v>
      </c>
    </row>
    <row r="370" spans="2:7">
      <c r="B370" s="39" t="s">
        <v>481</v>
      </c>
      <c r="C370" s="40">
        <v>46115</v>
      </c>
      <c r="D370" s="42">
        <v>36391.08</v>
      </c>
      <c r="E370" s="39" t="s">
        <v>110</v>
      </c>
      <c r="F370" s="39" cm="1">
        <f t="array" ref="F370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54.286700000000003</v>
      </c>
      <c r="G370" s="39">
        <f>ROUNDUP(Table1[[#This Row],[Amount]]/Table1[[#This Row],[Exchange rate]],2)</f>
        <v>670.35</v>
      </c>
    </row>
    <row r="371" spans="2:7">
      <c r="B371" s="25" t="s">
        <v>482</v>
      </c>
      <c r="C371" s="32">
        <v>46115</v>
      </c>
      <c r="D371" s="41">
        <v>11623.48</v>
      </c>
      <c r="E371" s="25" t="s">
        <v>110</v>
      </c>
      <c r="F371" s="25" cm="1">
        <f t="array" ref="F371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54.286700000000003</v>
      </c>
      <c r="G371" s="25">
        <f>ROUNDUP(Table1[[#This Row],[Amount]]/Table1[[#This Row],[Exchange rate]],2)</f>
        <v>214.12</v>
      </c>
    </row>
    <row r="372" spans="2:7">
      <c r="B372" s="39" t="s">
        <v>483</v>
      </c>
      <c r="C372" s="40">
        <v>46116</v>
      </c>
      <c r="D372" s="39">
        <v>407.97</v>
      </c>
      <c r="E372" s="39" t="s">
        <v>107</v>
      </c>
      <c r="F372" s="39" cm="1">
        <f t="array" ref="F372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0.57235000000000003</v>
      </c>
      <c r="G372" s="39">
        <f>ROUNDUP(Table1[[#This Row],[Amount]]/Table1[[#This Row],[Exchange rate]],2)</f>
        <v>712.8</v>
      </c>
    </row>
    <row r="373" spans="2:7">
      <c r="B373" s="25" t="s">
        <v>484</v>
      </c>
      <c r="C373" s="32">
        <v>46116</v>
      </c>
      <c r="D373" s="41">
        <v>25042.42</v>
      </c>
      <c r="E373" s="25" t="s">
        <v>110</v>
      </c>
      <c r="F373" s="25" cm="1">
        <f t="array" ref="F373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54.286700000000003</v>
      </c>
      <c r="G373" s="25">
        <f>ROUNDUP(Table1[[#This Row],[Amount]]/Table1[[#This Row],[Exchange rate]],2)</f>
        <v>461.3</v>
      </c>
    </row>
    <row r="374" spans="2:7">
      <c r="B374" s="39" t="s">
        <v>485</v>
      </c>
      <c r="C374" s="40">
        <v>46116</v>
      </c>
      <c r="D374" s="39">
        <v>295.83999999999997</v>
      </c>
      <c r="E374" s="39" t="s">
        <v>124</v>
      </c>
      <c r="F374" s="39" cm="1">
        <f t="array" ref="F374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1</v>
      </c>
      <c r="G374" s="39">
        <f>ROUNDUP(Table1[[#This Row],[Amount]]/Table1[[#This Row],[Exchange rate]],2)</f>
        <v>295.83999999999997</v>
      </c>
    </row>
    <row r="375" spans="2:7">
      <c r="B375" s="25" t="s">
        <v>486</v>
      </c>
      <c r="C375" s="32">
        <v>46116</v>
      </c>
      <c r="D375" s="41">
        <v>42333.3</v>
      </c>
      <c r="E375" s="25" t="s">
        <v>110</v>
      </c>
      <c r="F375" s="25" cm="1">
        <f t="array" ref="F375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54.286700000000003</v>
      </c>
      <c r="G375" s="25">
        <f>ROUNDUP(Table1[[#This Row],[Amount]]/Table1[[#This Row],[Exchange rate]],2)</f>
        <v>779.81</v>
      </c>
    </row>
    <row r="376" spans="2:7">
      <c r="B376" s="39" t="s">
        <v>487</v>
      </c>
      <c r="C376" s="40">
        <v>46117</v>
      </c>
      <c r="D376" s="39">
        <v>326.60000000000002</v>
      </c>
      <c r="E376" s="39" t="s">
        <v>108</v>
      </c>
      <c r="F376" s="39" cm="1">
        <f t="array" ref="F376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0.83465</v>
      </c>
      <c r="G376" s="39">
        <f>ROUNDUP(Table1[[#This Row],[Amount]]/Table1[[#This Row],[Exchange rate]],2)</f>
        <v>391.31</v>
      </c>
    </row>
    <row r="377" spans="2:7">
      <c r="B377" s="25" t="s">
        <v>488</v>
      </c>
      <c r="C377" s="32">
        <v>46117</v>
      </c>
      <c r="D377" s="25">
        <v>102.59</v>
      </c>
      <c r="E377" s="25" t="s">
        <v>124</v>
      </c>
      <c r="F377" s="25" cm="1">
        <f t="array" ref="F377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1</v>
      </c>
      <c r="G377" s="25">
        <f>ROUNDUP(Table1[[#This Row],[Amount]]/Table1[[#This Row],[Exchange rate]],2)</f>
        <v>102.59</v>
      </c>
    </row>
    <row r="378" spans="2:7">
      <c r="B378" s="39" t="s">
        <v>489</v>
      </c>
      <c r="C378" s="40">
        <v>46117</v>
      </c>
      <c r="D378" s="39">
        <v>185.24</v>
      </c>
      <c r="E378" s="39" t="s">
        <v>109</v>
      </c>
      <c r="F378" s="39" cm="1">
        <f t="array" ref="F378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0.49875000000000003</v>
      </c>
      <c r="G378" s="39">
        <f>ROUNDUP(Table1[[#This Row],[Amount]]/Table1[[#This Row],[Exchange rate]],2)</f>
        <v>371.40999999999997</v>
      </c>
    </row>
    <row r="379" spans="2:7">
      <c r="B379" s="25" t="s">
        <v>490</v>
      </c>
      <c r="C379" s="32">
        <v>46118</v>
      </c>
      <c r="D379" s="25">
        <v>217.83</v>
      </c>
      <c r="E379" s="25" t="s">
        <v>107</v>
      </c>
      <c r="F379" s="25" cm="1">
        <f t="array" ref="F379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0.57235000000000003</v>
      </c>
      <c r="G379" s="25">
        <f>ROUNDUP(Table1[[#This Row],[Amount]]/Table1[[#This Row],[Exchange rate]],2)</f>
        <v>380.59</v>
      </c>
    </row>
    <row r="380" spans="2:7">
      <c r="B380" s="39" t="s">
        <v>491</v>
      </c>
      <c r="C380" s="40">
        <v>46118</v>
      </c>
      <c r="D380" s="39">
        <v>284.95</v>
      </c>
      <c r="E380" s="39" t="s">
        <v>109</v>
      </c>
      <c r="F380" s="39" cm="1">
        <f t="array" ref="F380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0.49875000000000003</v>
      </c>
      <c r="G380" s="39">
        <f>ROUNDUP(Table1[[#This Row],[Amount]]/Table1[[#This Row],[Exchange rate]],2)</f>
        <v>571.33000000000004</v>
      </c>
    </row>
    <row r="381" spans="2:7">
      <c r="B381" s="25" t="s">
        <v>492</v>
      </c>
      <c r="C381" s="32">
        <v>46118</v>
      </c>
      <c r="D381" s="25">
        <v>286.02</v>
      </c>
      <c r="E381" s="25" t="s">
        <v>107</v>
      </c>
      <c r="F381" s="25" cm="1">
        <f t="array" ref="F381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0.57235000000000003</v>
      </c>
      <c r="G381" s="25">
        <f>ROUNDUP(Table1[[#This Row],[Amount]]/Table1[[#This Row],[Exchange rate]],2)</f>
        <v>499.73</v>
      </c>
    </row>
    <row r="382" spans="2:7">
      <c r="B382" s="39" t="s">
        <v>493</v>
      </c>
      <c r="C382" s="40">
        <v>46118</v>
      </c>
      <c r="D382" s="39">
        <v>204.89</v>
      </c>
      <c r="E382" s="39" t="s">
        <v>107</v>
      </c>
      <c r="F382" s="39" cm="1">
        <f t="array" ref="F382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0.57235000000000003</v>
      </c>
      <c r="G382" s="39">
        <f>ROUNDUP(Table1[[#This Row],[Amount]]/Table1[[#This Row],[Exchange rate]],2)</f>
        <v>357.99</v>
      </c>
    </row>
    <row r="383" spans="2:7">
      <c r="B383" s="25" t="s">
        <v>494</v>
      </c>
      <c r="C383" s="32">
        <v>46119</v>
      </c>
      <c r="D383" s="41">
        <v>11770.5</v>
      </c>
      <c r="E383" s="25" t="s">
        <v>110</v>
      </c>
      <c r="F383" s="25" cm="1">
        <f t="array" ref="F383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54.286700000000003</v>
      </c>
      <c r="G383" s="25">
        <f>ROUNDUP(Table1[[#This Row],[Amount]]/Table1[[#This Row],[Exchange rate]],2)</f>
        <v>216.82999999999998</v>
      </c>
    </row>
    <row r="384" spans="2:7">
      <c r="B384" s="39" t="s">
        <v>495</v>
      </c>
      <c r="C384" s="40">
        <v>46119</v>
      </c>
      <c r="D384" s="39">
        <v>445.83</v>
      </c>
      <c r="E384" s="39" t="s">
        <v>107</v>
      </c>
      <c r="F384" s="39" cm="1">
        <f t="array" ref="F384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0.57235000000000003</v>
      </c>
      <c r="G384" s="39">
        <f>ROUNDUP(Table1[[#This Row],[Amount]]/Table1[[#This Row],[Exchange rate]],2)</f>
        <v>778.95</v>
      </c>
    </row>
    <row r="385" spans="2:7">
      <c r="B385" s="25" t="s">
        <v>496</v>
      </c>
      <c r="C385" s="32">
        <v>46119</v>
      </c>
      <c r="D385" s="25">
        <v>191.41</v>
      </c>
      <c r="E385" s="25" t="s">
        <v>109</v>
      </c>
      <c r="F385" s="25" cm="1">
        <f t="array" ref="F385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0.49875000000000003</v>
      </c>
      <c r="G385" s="25">
        <f>ROUNDUP(Table1[[#This Row],[Amount]]/Table1[[#This Row],[Exchange rate]],2)</f>
        <v>383.78</v>
      </c>
    </row>
    <row r="386" spans="2:7">
      <c r="B386" s="39" t="s">
        <v>497</v>
      </c>
      <c r="C386" s="40">
        <v>46119</v>
      </c>
      <c r="D386" s="39">
        <v>158.68</v>
      </c>
      <c r="E386" s="39" t="s">
        <v>108</v>
      </c>
      <c r="F386" s="39" cm="1">
        <f t="array" ref="F386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0.83465</v>
      </c>
      <c r="G386" s="39">
        <f>ROUNDUP(Table1[[#This Row],[Amount]]/Table1[[#This Row],[Exchange rate]],2)</f>
        <v>190.12</v>
      </c>
    </row>
    <row r="387" spans="2:7">
      <c r="B387" s="25" t="s">
        <v>498</v>
      </c>
      <c r="C387" s="32">
        <v>46119</v>
      </c>
      <c r="D387" s="25">
        <v>347.47</v>
      </c>
      <c r="E387" s="25" t="s">
        <v>108</v>
      </c>
      <c r="F387" s="25" cm="1">
        <f t="array" ref="F387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0.83465</v>
      </c>
      <c r="G387" s="25">
        <f>ROUNDUP(Table1[[#This Row],[Amount]]/Table1[[#This Row],[Exchange rate]],2)</f>
        <v>416.31</v>
      </c>
    </row>
    <row r="388" spans="2:7">
      <c r="B388" s="39" t="s">
        <v>499</v>
      </c>
      <c r="C388" s="40">
        <v>46120</v>
      </c>
      <c r="D388" s="39">
        <v>219.49</v>
      </c>
      <c r="E388" s="39" t="s">
        <v>124</v>
      </c>
      <c r="F388" s="39" cm="1">
        <f t="array" ref="F388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1</v>
      </c>
      <c r="G388" s="39">
        <f>ROUNDUP(Table1[[#This Row],[Amount]]/Table1[[#This Row],[Exchange rate]],2)</f>
        <v>219.49</v>
      </c>
    </row>
    <row r="389" spans="2:7">
      <c r="B389" s="25" t="s">
        <v>500</v>
      </c>
      <c r="C389" s="32">
        <v>46120</v>
      </c>
      <c r="D389" s="25">
        <v>203.94</v>
      </c>
      <c r="E389" s="25" t="s">
        <v>109</v>
      </c>
      <c r="F389" s="25" cm="1">
        <f t="array" ref="F389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0.49875000000000003</v>
      </c>
      <c r="G389" s="25">
        <f>ROUNDUP(Table1[[#This Row],[Amount]]/Table1[[#This Row],[Exchange rate]],2)</f>
        <v>408.90999999999997</v>
      </c>
    </row>
    <row r="390" spans="2:7">
      <c r="B390" s="39" t="s">
        <v>501</v>
      </c>
      <c r="C390" s="40">
        <v>46120</v>
      </c>
      <c r="D390" s="39">
        <v>446.77</v>
      </c>
      <c r="E390" s="39" t="s">
        <v>108</v>
      </c>
      <c r="F390" s="39" cm="1">
        <f t="array" ref="F390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0.83465</v>
      </c>
      <c r="G390" s="39">
        <f>ROUNDUP(Table1[[#This Row],[Amount]]/Table1[[#This Row],[Exchange rate]],2)</f>
        <v>535.28</v>
      </c>
    </row>
    <row r="391" spans="2:7">
      <c r="B391" s="25" t="s">
        <v>502</v>
      </c>
      <c r="C391" s="32">
        <v>46121</v>
      </c>
      <c r="D391" s="41">
        <v>37898.870000000003</v>
      </c>
      <c r="E391" s="25" t="s">
        <v>110</v>
      </c>
      <c r="F391" s="25" cm="1">
        <f t="array" ref="F391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54.286700000000003</v>
      </c>
      <c r="G391" s="25">
        <f>ROUNDUP(Table1[[#This Row],[Amount]]/Table1[[#This Row],[Exchange rate]],2)</f>
        <v>698.13</v>
      </c>
    </row>
    <row r="392" spans="2:7">
      <c r="B392" s="39" t="s">
        <v>503</v>
      </c>
      <c r="C392" s="40">
        <v>46121</v>
      </c>
      <c r="D392" s="39">
        <v>111.12</v>
      </c>
      <c r="E392" s="39" t="s">
        <v>108</v>
      </c>
      <c r="F392" s="39" cm="1">
        <f t="array" ref="F392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0.83465</v>
      </c>
      <c r="G392" s="39">
        <f>ROUNDUP(Table1[[#This Row],[Amount]]/Table1[[#This Row],[Exchange rate]],2)</f>
        <v>133.13999999999999</v>
      </c>
    </row>
    <row r="393" spans="2:7">
      <c r="B393" s="25" t="s">
        <v>504</v>
      </c>
      <c r="C393" s="32">
        <v>46121</v>
      </c>
      <c r="D393" s="25">
        <v>303.97000000000003</v>
      </c>
      <c r="E393" s="25" t="s">
        <v>124</v>
      </c>
      <c r="F393" s="25" cm="1">
        <f t="array" ref="F393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1</v>
      </c>
      <c r="G393" s="25">
        <f>ROUNDUP(Table1[[#This Row],[Amount]]/Table1[[#This Row],[Exchange rate]],2)</f>
        <v>303.97000000000003</v>
      </c>
    </row>
    <row r="394" spans="2:7">
      <c r="B394" s="39" t="s">
        <v>505</v>
      </c>
      <c r="C394" s="40">
        <v>46122</v>
      </c>
      <c r="D394" s="39">
        <v>475.6</v>
      </c>
      <c r="E394" s="39" t="s">
        <v>107</v>
      </c>
      <c r="F394" s="39" cm="1">
        <f t="array" ref="F394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0.58530000000000004</v>
      </c>
      <c r="G394" s="39">
        <f>ROUNDUP(Table1[[#This Row],[Amount]]/Table1[[#This Row],[Exchange rate]],2)</f>
        <v>812.58</v>
      </c>
    </row>
    <row r="395" spans="2:7">
      <c r="B395" s="25" t="s">
        <v>506</v>
      </c>
      <c r="C395" s="32">
        <v>46122</v>
      </c>
      <c r="D395" s="41">
        <v>16653.419999999998</v>
      </c>
      <c r="E395" s="25" t="s">
        <v>110</v>
      </c>
      <c r="F395" s="25" cm="1">
        <f t="array" ref="F395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54.235399999999998</v>
      </c>
      <c r="G395" s="25">
        <f>ROUNDUP(Table1[[#This Row],[Amount]]/Table1[[#This Row],[Exchange rate]],2)</f>
        <v>307.06</v>
      </c>
    </row>
    <row r="396" spans="2:7">
      <c r="B396" s="39" t="s">
        <v>507</v>
      </c>
      <c r="C396" s="40">
        <v>46122</v>
      </c>
      <c r="D396" s="42">
        <v>40177.800000000003</v>
      </c>
      <c r="E396" s="39" t="s">
        <v>110</v>
      </c>
      <c r="F396" s="39" cm="1">
        <f t="array" ref="F396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54.235399999999998</v>
      </c>
      <c r="G396" s="39">
        <f>ROUNDUP(Table1[[#This Row],[Amount]]/Table1[[#This Row],[Exchange rate]],2)</f>
        <v>740.81</v>
      </c>
    </row>
    <row r="397" spans="2:7">
      <c r="B397" s="25" t="s">
        <v>508</v>
      </c>
      <c r="C397" s="32">
        <v>46123</v>
      </c>
      <c r="D397" s="25">
        <v>81.62</v>
      </c>
      <c r="E397" s="25" t="s">
        <v>107</v>
      </c>
      <c r="F397" s="25" cm="1">
        <f t="array" ref="F397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0.58530000000000004</v>
      </c>
      <c r="G397" s="25">
        <f>ROUNDUP(Table1[[#This Row],[Amount]]/Table1[[#This Row],[Exchange rate]],2)</f>
        <v>139.44999999999999</v>
      </c>
    </row>
    <row r="398" spans="2:7">
      <c r="B398" s="39" t="s">
        <v>509</v>
      </c>
      <c r="C398" s="40">
        <v>46123</v>
      </c>
      <c r="D398" s="39">
        <v>75.42</v>
      </c>
      <c r="E398" s="39" t="s">
        <v>109</v>
      </c>
      <c r="F398" s="39" cm="1">
        <f t="array" ref="F398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0.50055000000000005</v>
      </c>
      <c r="G398" s="39">
        <f>ROUNDUP(Table1[[#This Row],[Amount]]/Table1[[#This Row],[Exchange rate]],2)</f>
        <v>150.67999999999998</v>
      </c>
    </row>
    <row r="399" spans="2:7">
      <c r="B399" s="25" t="s">
        <v>510</v>
      </c>
      <c r="C399" s="32">
        <v>46123</v>
      </c>
      <c r="D399" s="25">
        <v>344.33</v>
      </c>
      <c r="E399" s="25" t="s">
        <v>108</v>
      </c>
      <c r="F399" s="25" cm="1">
        <f t="array" ref="F399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0.82715000000000005</v>
      </c>
      <c r="G399" s="25">
        <f>ROUNDUP(Table1[[#This Row],[Amount]]/Table1[[#This Row],[Exchange rate]],2)</f>
        <v>416.28999999999996</v>
      </c>
    </row>
    <row r="400" spans="2:7">
      <c r="B400" s="39" t="s">
        <v>511</v>
      </c>
      <c r="C400" s="40">
        <v>46123</v>
      </c>
      <c r="D400" s="39">
        <v>177.35</v>
      </c>
      <c r="E400" s="39" t="s">
        <v>109</v>
      </c>
      <c r="F400" s="39" cm="1">
        <f t="array" ref="F400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0.50055000000000005</v>
      </c>
      <c r="G400" s="39">
        <f>ROUNDUP(Table1[[#This Row],[Amount]]/Table1[[#This Row],[Exchange rate]],2)</f>
        <v>354.32</v>
      </c>
    </row>
    <row r="401" spans="2:7">
      <c r="B401" s="25" t="s">
        <v>512</v>
      </c>
      <c r="C401" s="32">
        <v>46124</v>
      </c>
      <c r="D401" s="25">
        <v>83.11</v>
      </c>
      <c r="E401" s="25" t="s">
        <v>124</v>
      </c>
      <c r="F401" s="25" cm="1">
        <f t="array" ref="F401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1</v>
      </c>
      <c r="G401" s="25">
        <f>ROUNDUP(Table1[[#This Row],[Amount]]/Table1[[#This Row],[Exchange rate]],2)</f>
        <v>83.11</v>
      </c>
    </row>
    <row r="402" spans="2:7">
      <c r="B402" s="39" t="s">
        <v>513</v>
      </c>
      <c r="C402" s="40">
        <v>46124</v>
      </c>
      <c r="D402" s="42">
        <v>33235.85</v>
      </c>
      <c r="E402" s="39" t="s">
        <v>110</v>
      </c>
      <c r="F402" s="39" cm="1">
        <f t="array" ref="F402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54.235399999999998</v>
      </c>
      <c r="G402" s="39">
        <f>ROUNDUP(Table1[[#This Row],[Amount]]/Table1[[#This Row],[Exchange rate]],2)</f>
        <v>612.80999999999995</v>
      </c>
    </row>
    <row r="403" spans="2:7">
      <c r="B403" s="25" t="s">
        <v>514</v>
      </c>
      <c r="C403" s="32">
        <v>46124</v>
      </c>
      <c r="D403" s="25">
        <v>201</v>
      </c>
      <c r="E403" s="25" t="s">
        <v>107</v>
      </c>
      <c r="F403" s="25" cm="1">
        <f t="array" ref="F403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0.58530000000000004</v>
      </c>
      <c r="G403" s="25">
        <f>ROUNDUP(Table1[[#This Row],[Amount]]/Table1[[#This Row],[Exchange rate]],2)</f>
        <v>343.42</v>
      </c>
    </row>
    <row r="404" spans="2:7">
      <c r="B404" s="39" t="s">
        <v>515</v>
      </c>
      <c r="C404" s="40">
        <v>46124</v>
      </c>
      <c r="D404" s="39">
        <v>385.77</v>
      </c>
      <c r="E404" s="39" t="s">
        <v>108</v>
      </c>
      <c r="F404" s="39" cm="1">
        <f t="array" ref="F404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0.82715000000000005</v>
      </c>
      <c r="G404" s="39">
        <f>ROUNDUP(Table1[[#This Row],[Amount]]/Table1[[#This Row],[Exchange rate]],2)</f>
        <v>466.39</v>
      </c>
    </row>
    <row r="405" spans="2:7">
      <c r="B405" s="25" t="s">
        <v>516</v>
      </c>
      <c r="C405" s="32">
        <v>46124</v>
      </c>
      <c r="D405" s="25">
        <v>408.76</v>
      </c>
      <c r="E405" s="25" t="s">
        <v>107</v>
      </c>
      <c r="F405" s="25" cm="1">
        <f t="array" ref="F405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0.58530000000000004</v>
      </c>
      <c r="G405" s="25">
        <f>ROUNDUP(Table1[[#This Row],[Amount]]/Table1[[#This Row],[Exchange rate]],2)</f>
        <v>698.38</v>
      </c>
    </row>
    <row r="406" spans="2:7">
      <c r="B406" s="39" t="s">
        <v>517</v>
      </c>
      <c r="C406" s="40">
        <v>46125</v>
      </c>
      <c r="D406" s="39">
        <v>242.67</v>
      </c>
      <c r="E406" s="39" t="s">
        <v>124</v>
      </c>
      <c r="F406" s="39" cm="1">
        <f t="array" ref="F406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1</v>
      </c>
      <c r="G406" s="39">
        <f>ROUNDUP(Table1[[#This Row],[Amount]]/Table1[[#This Row],[Exchange rate]],2)</f>
        <v>242.67</v>
      </c>
    </row>
    <row r="407" spans="2:7">
      <c r="B407" s="25" t="s">
        <v>518</v>
      </c>
      <c r="C407" s="32">
        <v>46125</v>
      </c>
      <c r="D407" s="25">
        <v>139.91999999999999</v>
      </c>
      <c r="E407" s="25" t="s">
        <v>124</v>
      </c>
      <c r="F407" s="25" cm="1">
        <f t="array" ref="F407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1</v>
      </c>
      <c r="G407" s="25">
        <f>ROUNDUP(Table1[[#This Row],[Amount]]/Table1[[#This Row],[Exchange rate]],2)</f>
        <v>139.91999999999999</v>
      </c>
    </row>
    <row r="408" spans="2:7">
      <c r="B408" s="39" t="s">
        <v>519</v>
      </c>
      <c r="C408" s="40">
        <v>46125</v>
      </c>
      <c r="D408" s="39">
        <v>297.44</v>
      </c>
      <c r="E408" s="39" t="s">
        <v>109</v>
      </c>
      <c r="F408" s="39" cm="1">
        <f t="array" ref="F408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0.50055000000000005</v>
      </c>
      <c r="G408" s="39">
        <f>ROUNDUP(Table1[[#This Row],[Amount]]/Table1[[#This Row],[Exchange rate]],2)</f>
        <v>594.23</v>
      </c>
    </row>
    <row r="409" spans="2:7">
      <c r="B409" s="25" t="s">
        <v>520</v>
      </c>
      <c r="C409" s="32">
        <v>46125</v>
      </c>
      <c r="D409" s="25">
        <v>380.51</v>
      </c>
      <c r="E409" s="25" t="s">
        <v>107</v>
      </c>
      <c r="F409" s="25" cm="1">
        <f t="array" ref="F409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0.58530000000000004</v>
      </c>
      <c r="G409" s="25">
        <f>ROUNDUP(Table1[[#This Row],[Amount]]/Table1[[#This Row],[Exchange rate]],2)</f>
        <v>650.12</v>
      </c>
    </row>
    <row r="410" spans="2:7">
      <c r="B410" s="39" t="s">
        <v>521</v>
      </c>
      <c r="C410" s="40">
        <v>46125</v>
      </c>
      <c r="D410" s="39">
        <v>413.44</v>
      </c>
      <c r="E410" s="39" t="s">
        <v>107</v>
      </c>
      <c r="F410" s="39" cm="1">
        <f t="array" ref="F410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0.58530000000000004</v>
      </c>
      <c r="G410" s="39">
        <f>ROUNDUP(Table1[[#This Row],[Amount]]/Table1[[#This Row],[Exchange rate]],2)</f>
        <v>706.38</v>
      </c>
    </row>
    <row r="411" spans="2:7">
      <c r="B411" s="25" t="s">
        <v>522</v>
      </c>
      <c r="C411" s="32">
        <v>46126</v>
      </c>
      <c r="D411" s="41">
        <v>23707.45</v>
      </c>
      <c r="E411" s="25" t="s">
        <v>110</v>
      </c>
      <c r="F411" s="25" cm="1">
        <f t="array" ref="F411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54.704900000000002</v>
      </c>
      <c r="G411" s="25">
        <f>ROUNDUP(Table1[[#This Row],[Amount]]/Table1[[#This Row],[Exchange rate]],2)</f>
        <v>433.37</v>
      </c>
    </row>
    <row r="412" spans="2:7">
      <c r="B412" s="39" t="s">
        <v>523</v>
      </c>
      <c r="C412" s="40">
        <v>46126</v>
      </c>
      <c r="D412" s="39">
        <v>193.55</v>
      </c>
      <c r="E412" s="39" t="s">
        <v>109</v>
      </c>
      <c r="F412" s="39" cm="1">
        <f t="array" ref="F412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0.49809999999999999</v>
      </c>
      <c r="G412" s="39">
        <f>ROUNDUP(Table1[[#This Row],[Amount]]/Table1[[#This Row],[Exchange rate]],2)</f>
        <v>388.58</v>
      </c>
    </row>
    <row r="413" spans="2:7">
      <c r="B413" s="25" t="s">
        <v>524</v>
      </c>
      <c r="C413" s="32">
        <v>46126</v>
      </c>
      <c r="D413" s="41">
        <v>19653.990000000002</v>
      </c>
      <c r="E413" s="25" t="s">
        <v>110</v>
      </c>
      <c r="F413" s="25" cm="1">
        <f t="array" ref="F413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54.704900000000002</v>
      </c>
      <c r="G413" s="25">
        <f>ROUNDUP(Table1[[#This Row],[Amount]]/Table1[[#This Row],[Exchange rate]],2)</f>
        <v>359.28</v>
      </c>
    </row>
    <row r="414" spans="2:7">
      <c r="B414" s="39" t="s">
        <v>525</v>
      </c>
      <c r="C414" s="40">
        <v>46126</v>
      </c>
      <c r="D414" s="39">
        <v>204.3</v>
      </c>
      <c r="E414" s="39" t="s">
        <v>109</v>
      </c>
      <c r="F414" s="39" cm="1">
        <f t="array" ref="F414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0.49809999999999999</v>
      </c>
      <c r="G414" s="39">
        <f>ROUNDUP(Table1[[#This Row],[Amount]]/Table1[[#This Row],[Exchange rate]],2)</f>
        <v>410.15999999999997</v>
      </c>
    </row>
    <row r="415" spans="2:7">
      <c r="B415" s="25" t="s">
        <v>526</v>
      </c>
      <c r="C415" s="32">
        <v>46127</v>
      </c>
      <c r="D415" s="25">
        <v>478.02</v>
      </c>
      <c r="E415" s="25" t="s">
        <v>108</v>
      </c>
      <c r="F415" s="25" cm="1">
        <f t="array" ref="F415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0.82745000000000002</v>
      </c>
      <c r="G415" s="25">
        <f>ROUNDUP(Table1[[#This Row],[Amount]]/Table1[[#This Row],[Exchange rate]],2)</f>
        <v>577.71</v>
      </c>
    </row>
    <row r="416" spans="2:7">
      <c r="B416" s="39" t="s">
        <v>527</v>
      </c>
      <c r="C416" s="40">
        <v>46127</v>
      </c>
      <c r="D416" s="39">
        <v>345.27</v>
      </c>
      <c r="E416" s="39" t="s">
        <v>124</v>
      </c>
      <c r="F416" s="39" cm="1">
        <f t="array" ref="F416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1</v>
      </c>
      <c r="G416" s="39">
        <f>ROUNDUP(Table1[[#This Row],[Amount]]/Table1[[#This Row],[Exchange rate]],2)</f>
        <v>345.27</v>
      </c>
    </row>
    <row r="417" spans="2:7">
      <c r="B417" s="25" t="s">
        <v>528</v>
      </c>
      <c r="C417" s="32">
        <v>46127</v>
      </c>
      <c r="D417" s="41">
        <v>6477.84</v>
      </c>
      <c r="E417" s="25" t="s">
        <v>110</v>
      </c>
      <c r="F417" s="25" cm="1">
        <f t="array" ref="F417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54.704900000000002</v>
      </c>
      <c r="G417" s="25">
        <f>ROUNDUP(Table1[[#This Row],[Amount]]/Table1[[#This Row],[Exchange rate]],2)</f>
        <v>118.42</v>
      </c>
    </row>
    <row r="418" spans="2:7">
      <c r="B418" s="39" t="s">
        <v>529</v>
      </c>
      <c r="C418" s="40">
        <v>46127</v>
      </c>
      <c r="D418" s="39">
        <v>370.13</v>
      </c>
      <c r="E418" s="39" t="s">
        <v>124</v>
      </c>
      <c r="F418" s="39" cm="1">
        <f t="array" ref="F418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1</v>
      </c>
      <c r="G418" s="39">
        <f>ROUNDUP(Table1[[#This Row],[Amount]]/Table1[[#This Row],[Exchange rate]],2)</f>
        <v>370.13</v>
      </c>
    </row>
    <row r="419" spans="2:7">
      <c r="B419" s="25" t="s">
        <v>530</v>
      </c>
      <c r="C419" s="32">
        <v>46128</v>
      </c>
      <c r="D419" s="25">
        <v>216.82</v>
      </c>
      <c r="E419" s="25" t="s">
        <v>108</v>
      </c>
      <c r="F419" s="25" cm="1">
        <f t="array" ref="F419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0.82745000000000002</v>
      </c>
      <c r="G419" s="25">
        <f>ROUNDUP(Table1[[#This Row],[Amount]]/Table1[[#This Row],[Exchange rate]],2)</f>
        <v>262.03999999999996</v>
      </c>
    </row>
    <row r="420" spans="2:7">
      <c r="B420" s="39" t="s">
        <v>531</v>
      </c>
      <c r="C420" s="40">
        <v>46128</v>
      </c>
      <c r="D420" s="39">
        <v>429.44</v>
      </c>
      <c r="E420" s="39" t="s">
        <v>124</v>
      </c>
      <c r="F420" s="39" cm="1">
        <f t="array" ref="F420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1</v>
      </c>
      <c r="G420" s="39">
        <f>ROUNDUP(Table1[[#This Row],[Amount]]/Table1[[#This Row],[Exchange rate]],2)</f>
        <v>429.44</v>
      </c>
    </row>
    <row r="421" spans="2:7">
      <c r="B421" s="25" t="s">
        <v>532</v>
      </c>
      <c r="C421" s="32">
        <v>46128</v>
      </c>
      <c r="D421" s="25">
        <v>244.48</v>
      </c>
      <c r="E421" s="25" t="s">
        <v>107</v>
      </c>
      <c r="F421" s="25" cm="1">
        <f t="array" ref="F421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0.58579999999999999</v>
      </c>
      <c r="G421" s="25">
        <f>ROUNDUP(Table1[[#This Row],[Amount]]/Table1[[#This Row],[Exchange rate]],2)</f>
        <v>417.34999999999997</v>
      </c>
    </row>
    <row r="422" spans="2:7">
      <c r="B422" s="39" t="s">
        <v>533</v>
      </c>
      <c r="C422" s="40">
        <v>46128</v>
      </c>
      <c r="D422" s="39">
        <v>255.17</v>
      </c>
      <c r="E422" s="39" t="s">
        <v>107</v>
      </c>
      <c r="F422" s="39" cm="1">
        <f t="array" ref="F422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0.58579999999999999</v>
      </c>
      <c r="G422" s="39">
        <f>ROUNDUP(Table1[[#This Row],[Amount]]/Table1[[#This Row],[Exchange rate]],2)</f>
        <v>435.59999999999997</v>
      </c>
    </row>
    <row r="423" spans="2:7">
      <c r="B423" s="25" t="s">
        <v>534</v>
      </c>
      <c r="C423" s="32">
        <v>46128</v>
      </c>
      <c r="D423" s="25">
        <v>169.6</v>
      </c>
      <c r="E423" s="25" t="s">
        <v>107</v>
      </c>
      <c r="F423" s="25" cm="1">
        <f t="array" ref="F423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0.58579999999999999</v>
      </c>
      <c r="G423" s="25">
        <f>ROUNDUP(Table1[[#This Row],[Amount]]/Table1[[#This Row],[Exchange rate]],2)</f>
        <v>289.52</v>
      </c>
    </row>
    <row r="424" spans="2:7">
      <c r="B424" s="39" t="s">
        <v>535</v>
      </c>
      <c r="C424" s="40">
        <v>46128</v>
      </c>
      <c r="D424" s="42">
        <v>29328.65</v>
      </c>
      <c r="E424" s="39" t="s">
        <v>110</v>
      </c>
      <c r="F424" s="39" cm="1">
        <f t="array" ref="F424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54.704900000000002</v>
      </c>
      <c r="G424" s="39">
        <f>ROUNDUP(Table1[[#This Row],[Amount]]/Table1[[#This Row],[Exchange rate]],2)</f>
        <v>536.13</v>
      </c>
    </row>
    <row r="425" spans="2:7">
      <c r="B425" s="25" t="s">
        <v>536</v>
      </c>
      <c r="C425" s="32">
        <v>46129</v>
      </c>
      <c r="D425" s="25">
        <v>295.13</v>
      </c>
      <c r="E425" s="25" t="s">
        <v>108</v>
      </c>
      <c r="F425" s="25" cm="1">
        <f t="array" ref="F425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0.82145000000000001</v>
      </c>
      <c r="G425" s="25">
        <f>ROUNDUP(Table1[[#This Row],[Amount]]/Table1[[#This Row],[Exchange rate]],2)</f>
        <v>359.28</v>
      </c>
    </row>
    <row r="426" spans="2:7">
      <c r="B426" s="39" t="s">
        <v>537</v>
      </c>
      <c r="C426" s="40">
        <v>46129</v>
      </c>
      <c r="D426" s="39">
        <v>492.43</v>
      </c>
      <c r="E426" s="39" t="s">
        <v>124</v>
      </c>
      <c r="F426" s="39" cm="1">
        <f t="array" ref="F426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1</v>
      </c>
      <c r="G426" s="39">
        <f>ROUNDUP(Table1[[#This Row],[Amount]]/Table1[[#This Row],[Exchange rate]],2)</f>
        <v>492.43</v>
      </c>
    </row>
    <row r="427" spans="2:7">
      <c r="B427" s="25" t="s">
        <v>538</v>
      </c>
      <c r="C427" s="32">
        <v>46129</v>
      </c>
      <c r="D427" s="25">
        <v>288.07</v>
      </c>
      <c r="E427" s="25" t="s">
        <v>124</v>
      </c>
      <c r="F427" s="25" cm="1">
        <f t="array" ref="F427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1</v>
      </c>
      <c r="G427" s="25">
        <f>ROUNDUP(Table1[[#This Row],[Amount]]/Table1[[#This Row],[Exchange rate]],2)</f>
        <v>288.07</v>
      </c>
    </row>
    <row r="428" spans="2:7">
      <c r="B428" s="39" t="s">
        <v>539</v>
      </c>
      <c r="C428" s="40">
        <v>46129</v>
      </c>
      <c r="D428" s="39">
        <v>239.06</v>
      </c>
      <c r="E428" s="39" t="s">
        <v>124</v>
      </c>
      <c r="F428" s="39" cm="1">
        <f t="array" ref="F428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1</v>
      </c>
      <c r="G428" s="39">
        <f>ROUNDUP(Table1[[#This Row],[Amount]]/Table1[[#This Row],[Exchange rate]],2)</f>
        <v>239.06</v>
      </c>
    </row>
    <row r="429" spans="2:7">
      <c r="B429" s="25" t="s">
        <v>540</v>
      </c>
      <c r="C429" s="32">
        <v>46130</v>
      </c>
      <c r="D429" s="25">
        <v>236.3</v>
      </c>
      <c r="E429" s="25" t="s">
        <v>107</v>
      </c>
      <c r="F429" s="25" cm="1">
        <f t="array" ref="F429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0.58835000000000004</v>
      </c>
      <c r="G429" s="25">
        <f>ROUNDUP(Table1[[#This Row],[Amount]]/Table1[[#This Row],[Exchange rate]],2)</f>
        <v>401.64</v>
      </c>
    </row>
    <row r="430" spans="2:7">
      <c r="B430" s="39" t="s">
        <v>541</v>
      </c>
      <c r="C430" s="40">
        <v>46130</v>
      </c>
      <c r="D430" s="39">
        <v>171.45</v>
      </c>
      <c r="E430" s="39" t="s">
        <v>107</v>
      </c>
      <c r="F430" s="39" cm="1">
        <f t="array" ref="F430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0.58835000000000004</v>
      </c>
      <c r="G430" s="39">
        <f>ROUNDUP(Table1[[#This Row],[Amount]]/Table1[[#This Row],[Exchange rate]],2)</f>
        <v>291.40999999999997</v>
      </c>
    </row>
    <row r="431" spans="2:7">
      <c r="B431" s="25" t="s">
        <v>542</v>
      </c>
      <c r="C431" s="32">
        <v>46130</v>
      </c>
      <c r="D431" s="25">
        <v>170.11</v>
      </c>
      <c r="E431" s="25" t="s">
        <v>108</v>
      </c>
      <c r="F431" s="25" cm="1">
        <f t="array" ref="F431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0.82145000000000001</v>
      </c>
      <c r="G431" s="25">
        <f>ROUNDUP(Table1[[#This Row],[Amount]]/Table1[[#This Row],[Exchange rate]],2)</f>
        <v>207.09</v>
      </c>
    </row>
    <row r="432" spans="2:7">
      <c r="B432" s="39" t="s">
        <v>543</v>
      </c>
      <c r="C432" s="40">
        <v>46130</v>
      </c>
      <c r="D432" s="39">
        <v>308.38</v>
      </c>
      <c r="E432" s="39" t="s">
        <v>109</v>
      </c>
      <c r="F432" s="39" cm="1">
        <f t="array" ref="F432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0.49964999999999998</v>
      </c>
      <c r="G432" s="39">
        <f>ROUNDUP(Table1[[#This Row],[Amount]]/Table1[[#This Row],[Exchange rate]],2)</f>
        <v>617.20000000000005</v>
      </c>
    </row>
    <row r="433" spans="2:7">
      <c r="B433" s="25" t="s">
        <v>544</v>
      </c>
      <c r="C433" s="32">
        <v>46131</v>
      </c>
      <c r="D433" s="25">
        <v>148.80000000000001</v>
      </c>
      <c r="E433" s="25" t="s">
        <v>107</v>
      </c>
      <c r="F433" s="25" cm="1">
        <f t="array" ref="F433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0.58835000000000004</v>
      </c>
      <c r="G433" s="25">
        <f>ROUNDUP(Table1[[#This Row],[Amount]]/Table1[[#This Row],[Exchange rate]],2)</f>
        <v>252.92</v>
      </c>
    </row>
    <row r="434" spans="2:7">
      <c r="B434" s="39" t="s">
        <v>545</v>
      </c>
      <c r="C434" s="40">
        <v>46131</v>
      </c>
      <c r="D434" s="39">
        <v>404.28</v>
      </c>
      <c r="E434" s="39" t="s">
        <v>108</v>
      </c>
      <c r="F434" s="39" cm="1">
        <f t="array" ref="F434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0.82145000000000001</v>
      </c>
      <c r="G434" s="39">
        <f>ROUNDUP(Table1[[#This Row],[Amount]]/Table1[[#This Row],[Exchange rate]],2)</f>
        <v>492.15999999999997</v>
      </c>
    </row>
    <row r="435" spans="2:7">
      <c r="B435" s="25" t="s">
        <v>546</v>
      </c>
      <c r="C435" s="32">
        <v>46131</v>
      </c>
      <c r="D435" s="25">
        <v>418.28</v>
      </c>
      <c r="E435" s="25" t="s">
        <v>108</v>
      </c>
      <c r="F435" s="25" cm="1">
        <f t="array" ref="F435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0.82145000000000001</v>
      </c>
      <c r="G435" s="25">
        <f>ROUNDUP(Table1[[#This Row],[Amount]]/Table1[[#This Row],[Exchange rate]],2)</f>
        <v>509.2</v>
      </c>
    </row>
    <row r="436" spans="2:7">
      <c r="B436" s="39" t="s">
        <v>547</v>
      </c>
      <c r="C436" s="40">
        <v>46132</v>
      </c>
      <c r="D436" s="42">
        <v>10625.56</v>
      </c>
      <c r="E436" s="39" t="s">
        <v>110</v>
      </c>
      <c r="F436" s="39" cm="1">
        <f t="array" ref="F436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54.835000000000001</v>
      </c>
      <c r="G436" s="39">
        <f>ROUNDUP(Table1[[#This Row],[Amount]]/Table1[[#This Row],[Exchange rate]],2)</f>
        <v>193.78</v>
      </c>
    </row>
    <row r="437" spans="2:7">
      <c r="B437" s="25" t="s">
        <v>548</v>
      </c>
      <c r="C437" s="32">
        <v>46132</v>
      </c>
      <c r="D437" s="25">
        <v>444.68</v>
      </c>
      <c r="E437" s="25" t="s">
        <v>108</v>
      </c>
      <c r="F437" s="25" cm="1">
        <f t="array" ref="F437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0.82145000000000001</v>
      </c>
      <c r="G437" s="25">
        <f>ROUNDUP(Table1[[#This Row],[Amount]]/Table1[[#This Row],[Exchange rate]],2)</f>
        <v>541.34</v>
      </c>
    </row>
    <row r="438" spans="2:7">
      <c r="B438" s="39" t="s">
        <v>549</v>
      </c>
      <c r="C438" s="40">
        <v>46132</v>
      </c>
      <c r="D438" s="39">
        <v>418.03</v>
      </c>
      <c r="E438" s="39" t="s">
        <v>108</v>
      </c>
      <c r="F438" s="39" cm="1">
        <f t="array" ref="F438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0.82145000000000001</v>
      </c>
      <c r="G438" s="39">
        <f>ROUNDUP(Table1[[#This Row],[Amount]]/Table1[[#This Row],[Exchange rate]],2)</f>
        <v>508.9</v>
      </c>
    </row>
    <row r="439" spans="2:7">
      <c r="B439" s="25" t="s">
        <v>550</v>
      </c>
      <c r="C439" s="32">
        <v>46132</v>
      </c>
      <c r="D439" s="25">
        <v>421.02</v>
      </c>
      <c r="E439" s="25" t="s">
        <v>124</v>
      </c>
      <c r="F439" s="25" cm="1">
        <f t="array" ref="F439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1</v>
      </c>
      <c r="G439" s="25">
        <f>ROUNDUP(Table1[[#This Row],[Amount]]/Table1[[#This Row],[Exchange rate]],2)</f>
        <v>421.02</v>
      </c>
    </row>
    <row r="440" spans="2:7">
      <c r="B440" s="39" t="s">
        <v>551</v>
      </c>
      <c r="C440" s="40">
        <v>46133</v>
      </c>
      <c r="D440" s="39">
        <v>260.64</v>
      </c>
      <c r="E440" s="39" t="s">
        <v>107</v>
      </c>
      <c r="F440" s="39" cm="1">
        <f t="array" ref="F440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0.58835000000000004</v>
      </c>
      <c r="G440" s="39">
        <f>ROUNDUP(Table1[[#This Row],[Amount]]/Table1[[#This Row],[Exchange rate]],2)</f>
        <v>443.01</v>
      </c>
    </row>
    <row r="441" spans="2:7">
      <c r="B441" s="25" t="s">
        <v>552</v>
      </c>
      <c r="C441" s="32">
        <v>46133</v>
      </c>
      <c r="D441" s="25">
        <v>355.48</v>
      </c>
      <c r="E441" s="25" t="s">
        <v>108</v>
      </c>
      <c r="F441" s="25" cm="1">
        <f t="array" ref="F441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0.82145000000000001</v>
      </c>
      <c r="G441" s="25">
        <f>ROUNDUP(Table1[[#This Row],[Amount]]/Table1[[#This Row],[Exchange rate]],2)</f>
        <v>432.75</v>
      </c>
    </row>
    <row r="442" spans="2:7">
      <c r="B442" s="39" t="s">
        <v>553</v>
      </c>
      <c r="C442" s="40">
        <v>46133</v>
      </c>
      <c r="D442" s="39">
        <v>97.45</v>
      </c>
      <c r="E442" s="39" t="s">
        <v>109</v>
      </c>
      <c r="F442" s="39" cm="1">
        <f t="array" ref="F442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0.49964999999999998</v>
      </c>
      <c r="G442" s="39">
        <f>ROUNDUP(Table1[[#This Row],[Amount]]/Table1[[#This Row],[Exchange rate]],2)</f>
        <v>195.04</v>
      </c>
    </row>
    <row r="443" spans="2:7">
      <c r="B443" s="25" t="s">
        <v>554</v>
      </c>
      <c r="C443" s="32">
        <v>46134</v>
      </c>
      <c r="D443" s="25">
        <v>493.79</v>
      </c>
      <c r="E443" s="25" t="s">
        <v>108</v>
      </c>
      <c r="F443" s="25" cm="1">
        <f t="array" ref="F443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0.82145000000000001</v>
      </c>
      <c r="G443" s="25">
        <f>ROUNDUP(Table1[[#This Row],[Amount]]/Table1[[#This Row],[Exchange rate]],2)</f>
        <v>601.12</v>
      </c>
    </row>
    <row r="444" spans="2:7">
      <c r="B444" s="39" t="s">
        <v>555</v>
      </c>
      <c r="C444" s="40">
        <v>46134</v>
      </c>
      <c r="D444" s="39">
        <v>450.77</v>
      </c>
      <c r="E444" s="39" t="s">
        <v>109</v>
      </c>
      <c r="F444" s="39" cm="1">
        <f t="array" ref="F444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0.49964999999999998</v>
      </c>
      <c r="G444" s="39">
        <f>ROUNDUP(Table1[[#This Row],[Amount]]/Table1[[#This Row],[Exchange rate]],2)</f>
        <v>902.18</v>
      </c>
    </row>
    <row r="445" spans="2:7">
      <c r="B445" s="25" t="s">
        <v>556</v>
      </c>
      <c r="C445" s="32">
        <v>46134</v>
      </c>
      <c r="D445" s="25">
        <v>138.34</v>
      </c>
      <c r="E445" s="25" t="s">
        <v>108</v>
      </c>
      <c r="F445" s="25" cm="1">
        <f t="array" ref="F445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0.82145000000000001</v>
      </c>
      <c r="G445" s="25">
        <f>ROUNDUP(Table1[[#This Row],[Amount]]/Table1[[#This Row],[Exchange rate]],2)</f>
        <v>168.41</v>
      </c>
    </row>
    <row r="446" spans="2:7">
      <c r="B446" s="39" t="s">
        <v>557</v>
      </c>
      <c r="C446" s="40">
        <v>46135</v>
      </c>
      <c r="D446" s="42">
        <v>9290.9599999999991</v>
      </c>
      <c r="E446" s="39" t="s">
        <v>110</v>
      </c>
      <c r="F446" s="39" cm="1">
        <f t="array" ref="F446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54.835000000000001</v>
      </c>
      <c r="G446" s="39">
        <f>ROUNDUP(Table1[[#This Row],[Amount]]/Table1[[#This Row],[Exchange rate]],2)</f>
        <v>169.44</v>
      </c>
    </row>
    <row r="447" spans="2:7">
      <c r="B447" s="25" t="s">
        <v>558</v>
      </c>
      <c r="C447" s="32">
        <v>46135</v>
      </c>
      <c r="D447" s="41">
        <v>7088.15</v>
      </c>
      <c r="E447" s="25" t="s">
        <v>110</v>
      </c>
      <c r="F447" s="25" cm="1">
        <f t="array" ref="F447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54.835000000000001</v>
      </c>
      <c r="G447" s="25">
        <f>ROUNDUP(Table1[[#This Row],[Amount]]/Table1[[#This Row],[Exchange rate]],2)</f>
        <v>129.26999999999998</v>
      </c>
    </row>
    <row r="448" spans="2:7">
      <c r="B448" s="39" t="s">
        <v>559</v>
      </c>
      <c r="C448" s="40">
        <v>46135</v>
      </c>
      <c r="D448" s="39">
        <v>327.58</v>
      </c>
      <c r="E448" s="39" t="s">
        <v>109</v>
      </c>
      <c r="F448" s="39" cm="1">
        <f t="array" ref="F448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0.49964999999999998</v>
      </c>
      <c r="G448" s="39">
        <f>ROUNDUP(Table1[[#This Row],[Amount]]/Table1[[#This Row],[Exchange rate]],2)</f>
        <v>655.62</v>
      </c>
    </row>
    <row r="449" spans="2:7">
      <c r="B449" s="25" t="s">
        <v>560</v>
      </c>
      <c r="C449" s="32">
        <v>46136</v>
      </c>
      <c r="D449" s="25">
        <v>107.92</v>
      </c>
      <c r="E449" s="25" t="s">
        <v>107</v>
      </c>
      <c r="F449" s="25" cm="1">
        <f t="array" ref="F449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0.58594999999999997</v>
      </c>
      <c r="G449" s="25">
        <f>ROUNDUP(Table1[[#This Row],[Amount]]/Table1[[#This Row],[Exchange rate]],2)</f>
        <v>184.17999999999998</v>
      </c>
    </row>
    <row r="450" spans="2:7">
      <c r="B450" s="39" t="s">
        <v>561</v>
      </c>
      <c r="C450" s="40">
        <v>46136</v>
      </c>
      <c r="D450" s="39">
        <v>328.02</v>
      </c>
      <c r="E450" s="39" t="s">
        <v>124</v>
      </c>
      <c r="F450" s="39" cm="1">
        <f t="array" ref="F450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1</v>
      </c>
      <c r="G450" s="39">
        <f>ROUNDUP(Table1[[#This Row],[Amount]]/Table1[[#This Row],[Exchange rate]],2)</f>
        <v>328.02</v>
      </c>
    </row>
    <row r="451" spans="2:7">
      <c r="B451" s="25" t="s">
        <v>562</v>
      </c>
      <c r="C451" s="32">
        <v>46136</v>
      </c>
      <c r="D451" s="25">
        <v>167.78</v>
      </c>
      <c r="E451" s="25" t="s">
        <v>124</v>
      </c>
      <c r="F451" s="25" cm="1">
        <f t="array" ref="F451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1</v>
      </c>
      <c r="G451" s="25">
        <f>ROUNDUP(Table1[[#This Row],[Amount]]/Table1[[#This Row],[Exchange rate]],2)</f>
        <v>167.78</v>
      </c>
    </row>
    <row r="452" spans="2:7">
      <c r="B452" s="39" t="s">
        <v>563</v>
      </c>
      <c r="C452" s="40">
        <v>46136</v>
      </c>
      <c r="D452" s="39">
        <v>74.03</v>
      </c>
      <c r="E452" s="39" t="s">
        <v>107</v>
      </c>
      <c r="F452" s="39" cm="1">
        <f t="array" ref="F452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0.58594999999999997</v>
      </c>
      <c r="G452" s="39">
        <f>ROUNDUP(Table1[[#This Row],[Amount]]/Table1[[#This Row],[Exchange rate]],2)</f>
        <v>126.35000000000001</v>
      </c>
    </row>
    <row r="453" spans="2:7">
      <c r="B453" s="25" t="s">
        <v>564</v>
      </c>
      <c r="C453" s="32">
        <v>46137</v>
      </c>
      <c r="D453" s="25">
        <v>264.12</v>
      </c>
      <c r="E453" s="25" t="s">
        <v>108</v>
      </c>
      <c r="F453" s="25" cm="1">
        <f t="array" ref="F453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0.82164999999999999</v>
      </c>
      <c r="G453" s="25">
        <f>ROUNDUP(Table1[[#This Row],[Amount]]/Table1[[#This Row],[Exchange rate]],2)</f>
        <v>321.45999999999998</v>
      </c>
    </row>
    <row r="454" spans="2:7">
      <c r="B454" s="39" t="s">
        <v>565</v>
      </c>
      <c r="C454" s="40">
        <v>46137</v>
      </c>
      <c r="D454" s="39">
        <v>387.62</v>
      </c>
      <c r="E454" s="39" t="s">
        <v>107</v>
      </c>
      <c r="F454" s="39" cm="1">
        <f t="array" ref="F454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0.58594999999999997</v>
      </c>
      <c r="G454" s="39">
        <f>ROUNDUP(Table1[[#This Row],[Amount]]/Table1[[#This Row],[Exchange rate]],2)</f>
        <v>661.53</v>
      </c>
    </row>
    <row r="455" spans="2:7">
      <c r="B455" s="25" t="s">
        <v>566</v>
      </c>
      <c r="C455" s="32">
        <v>46137</v>
      </c>
      <c r="D455" s="41">
        <v>22249.14</v>
      </c>
      <c r="E455" s="25" t="s">
        <v>110</v>
      </c>
      <c r="F455" s="25" cm="1">
        <f t="array" ref="F455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55.142299999999999</v>
      </c>
      <c r="G455" s="25">
        <f>ROUNDUP(Table1[[#This Row],[Amount]]/Table1[[#This Row],[Exchange rate]],2)</f>
        <v>403.49</v>
      </c>
    </row>
    <row r="456" spans="2:7">
      <c r="B456" s="39" t="s">
        <v>567</v>
      </c>
      <c r="C456" s="40">
        <v>46138</v>
      </c>
      <c r="D456" s="39">
        <v>373.92</v>
      </c>
      <c r="E456" s="39" t="s">
        <v>107</v>
      </c>
      <c r="F456" s="39" cm="1">
        <f t="array" ref="F456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0.58594999999999997</v>
      </c>
      <c r="G456" s="39">
        <f>ROUNDUP(Table1[[#This Row],[Amount]]/Table1[[#This Row],[Exchange rate]],2)</f>
        <v>638.15</v>
      </c>
    </row>
    <row r="457" spans="2:7">
      <c r="B457" s="25" t="s">
        <v>568</v>
      </c>
      <c r="C457" s="32">
        <v>46138</v>
      </c>
      <c r="D457" s="25">
        <v>497.37</v>
      </c>
      <c r="E457" s="25" t="s">
        <v>124</v>
      </c>
      <c r="F457" s="25" cm="1">
        <f t="array" ref="F457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1</v>
      </c>
      <c r="G457" s="25">
        <f>ROUNDUP(Table1[[#This Row],[Amount]]/Table1[[#This Row],[Exchange rate]],2)</f>
        <v>497.37</v>
      </c>
    </row>
    <row r="458" spans="2:7">
      <c r="B458" s="39" t="s">
        <v>569</v>
      </c>
      <c r="C458" s="40">
        <v>46138</v>
      </c>
      <c r="D458" s="39">
        <v>440.13</v>
      </c>
      <c r="E458" s="39" t="s">
        <v>107</v>
      </c>
      <c r="F458" s="39" cm="1">
        <f t="array" ref="F458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0.58594999999999997</v>
      </c>
      <c r="G458" s="39">
        <f>ROUNDUP(Table1[[#This Row],[Amount]]/Table1[[#This Row],[Exchange rate]],2)</f>
        <v>751.14</v>
      </c>
    </row>
    <row r="459" spans="2:7">
      <c r="B459" s="25" t="s">
        <v>570</v>
      </c>
      <c r="C459" s="32">
        <v>46139</v>
      </c>
      <c r="D459" s="25">
        <v>426</v>
      </c>
      <c r="E459" s="25" t="s">
        <v>124</v>
      </c>
      <c r="F459" s="25" cm="1">
        <f t="array" ref="F459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1</v>
      </c>
      <c r="G459" s="25">
        <f>ROUNDUP(Table1[[#This Row],[Amount]]/Table1[[#This Row],[Exchange rate]],2)</f>
        <v>426</v>
      </c>
    </row>
    <row r="460" spans="2:7">
      <c r="B460" s="39" t="s">
        <v>571</v>
      </c>
      <c r="C460" s="40">
        <v>46139</v>
      </c>
      <c r="D460" s="42">
        <v>7176.34</v>
      </c>
      <c r="E460" s="39" t="s">
        <v>110</v>
      </c>
      <c r="F460" s="39" cm="1">
        <f t="array" ref="F460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55.142299999999999</v>
      </c>
      <c r="G460" s="39">
        <f>ROUNDUP(Table1[[#This Row],[Amount]]/Table1[[#This Row],[Exchange rate]],2)</f>
        <v>130.14999999999998</v>
      </c>
    </row>
    <row r="461" spans="2:7">
      <c r="B461" s="25" t="s">
        <v>572</v>
      </c>
      <c r="C461" s="32">
        <v>46139</v>
      </c>
      <c r="D461" s="25">
        <v>164.35</v>
      </c>
      <c r="E461" s="25" t="s">
        <v>108</v>
      </c>
      <c r="F461" s="25" cm="1">
        <f t="array" ref="F461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0.82164999999999999</v>
      </c>
      <c r="G461" s="25">
        <f>ROUNDUP(Table1[[#This Row],[Amount]]/Table1[[#This Row],[Exchange rate]],2)</f>
        <v>200.03</v>
      </c>
    </row>
    <row r="462" spans="2:7">
      <c r="B462" s="39" t="s">
        <v>573</v>
      </c>
      <c r="C462" s="40">
        <v>46140</v>
      </c>
      <c r="D462" s="39">
        <v>87.74</v>
      </c>
      <c r="E462" s="39" t="s">
        <v>124</v>
      </c>
      <c r="F462" s="39" cm="1">
        <f t="array" ref="F462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1</v>
      </c>
      <c r="G462" s="39">
        <f>ROUNDUP(Table1[[#This Row],[Amount]]/Table1[[#This Row],[Exchange rate]],2)</f>
        <v>87.74</v>
      </c>
    </row>
    <row r="463" spans="2:7">
      <c r="B463" s="25" t="s">
        <v>574</v>
      </c>
      <c r="C463" s="32">
        <v>46140</v>
      </c>
      <c r="D463" s="41">
        <v>26306.48</v>
      </c>
      <c r="E463" s="25" t="s">
        <v>110</v>
      </c>
      <c r="F463" s="25" cm="1">
        <f t="array" ref="F463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55.142299999999999</v>
      </c>
      <c r="G463" s="25">
        <f>ROUNDUP(Table1[[#This Row],[Amount]]/Table1[[#This Row],[Exchange rate]],2)</f>
        <v>477.07</v>
      </c>
    </row>
    <row r="464" spans="2:7">
      <c r="B464" s="39" t="s">
        <v>575</v>
      </c>
      <c r="C464" s="40">
        <v>46140</v>
      </c>
      <c r="D464" s="39">
        <v>377.45</v>
      </c>
      <c r="E464" s="39" t="s">
        <v>108</v>
      </c>
      <c r="F464" s="39" cm="1">
        <f t="array" ref="F464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0.82164999999999999</v>
      </c>
      <c r="G464" s="39">
        <f>ROUNDUP(Table1[[#This Row],[Amount]]/Table1[[#This Row],[Exchange rate]],2)</f>
        <v>459.39</v>
      </c>
    </row>
    <row r="465" spans="2:7">
      <c r="B465" s="25" t="s">
        <v>576</v>
      </c>
      <c r="C465" s="32">
        <v>46141</v>
      </c>
      <c r="D465" s="25">
        <v>264.01</v>
      </c>
      <c r="E465" s="25" t="s">
        <v>109</v>
      </c>
      <c r="F465" s="25" cm="1">
        <f t="array" ref="F465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0.50134999999999996</v>
      </c>
      <c r="G465" s="25">
        <f>ROUNDUP(Table1[[#This Row],[Amount]]/Table1[[#This Row],[Exchange rate]],2)</f>
        <v>526.6</v>
      </c>
    </row>
    <row r="466" spans="2:7">
      <c r="B466" s="39" t="s">
        <v>577</v>
      </c>
      <c r="C466" s="40">
        <v>46141</v>
      </c>
      <c r="D466" s="39">
        <v>314.79000000000002</v>
      </c>
      <c r="E466" s="39" t="s">
        <v>108</v>
      </c>
      <c r="F466" s="39" cm="1">
        <f t="array" ref="F466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0.82164999999999999</v>
      </c>
      <c r="G466" s="39">
        <f>ROUNDUP(Table1[[#This Row],[Amount]]/Table1[[#This Row],[Exchange rate]],2)</f>
        <v>383.12</v>
      </c>
    </row>
    <row r="467" spans="2:7">
      <c r="B467" s="25" t="s">
        <v>578</v>
      </c>
      <c r="C467" s="32">
        <v>46141</v>
      </c>
      <c r="D467" s="41">
        <v>10000.51</v>
      </c>
      <c r="E467" s="25" t="s">
        <v>110</v>
      </c>
      <c r="F467" s="25" cm="1">
        <f t="array" ref="F467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55.142299999999999</v>
      </c>
      <c r="G467" s="25">
        <f>ROUNDUP(Table1[[#This Row],[Amount]]/Table1[[#This Row],[Exchange rate]],2)</f>
        <v>181.35999999999999</v>
      </c>
    </row>
    <row r="468" spans="2:7">
      <c r="B468" s="39" t="s">
        <v>579</v>
      </c>
      <c r="C468" s="40">
        <v>46141</v>
      </c>
      <c r="D468" s="39">
        <v>489.39</v>
      </c>
      <c r="E468" s="39" t="s">
        <v>109</v>
      </c>
      <c r="F468" s="39" cm="1">
        <f t="array" ref="F468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0.50134999999999996</v>
      </c>
      <c r="G468" s="39">
        <f>ROUNDUP(Table1[[#This Row],[Amount]]/Table1[[#This Row],[Exchange rate]],2)</f>
        <v>976.15</v>
      </c>
    </row>
    <row r="469" spans="2:7">
      <c r="B469" s="25" t="s">
        <v>580</v>
      </c>
      <c r="C469" s="32">
        <v>46141</v>
      </c>
      <c r="D469" s="25">
        <v>214.32</v>
      </c>
      <c r="E469" s="25" t="s">
        <v>108</v>
      </c>
      <c r="F469" s="25" cm="1">
        <f t="array" ref="F469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0.82164999999999999</v>
      </c>
      <c r="G469" s="25">
        <f>ROUNDUP(Table1[[#This Row],[Amount]]/Table1[[#This Row],[Exchange rate]],2)</f>
        <v>260.84999999999997</v>
      </c>
    </row>
    <row r="470" spans="2:7">
      <c r="B470" s="39" t="s">
        <v>581</v>
      </c>
      <c r="C470" s="40">
        <v>46141</v>
      </c>
      <c r="D470" s="39">
        <v>188.99</v>
      </c>
      <c r="E470" s="39" t="s">
        <v>108</v>
      </c>
      <c r="F470" s="39" cm="1">
        <f t="array" ref="F470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0.82164999999999999</v>
      </c>
      <c r="G470" s="39">
        <f>ROUNDUP(Table1[[#This Row],[Amount]]/Table1[[#This Row],[Exchange rate]],2)</f>
        <v>230.01999999999998</v>
      </c>
    </row>
    <row r="471" spans="2:7">
      <c r="B471" s="25" t="s">
        <v>582</v>
      </c>
      <c r="C471" s="32">
        <v>46142</v>
      </c>
      <c r="D471" s="25">
        <v>154.81</v>
      </c>
      <c r="E471" s="25" t="s">
        <v>109</v>
      </c>
      <c r="F471" s="25" cm="1">
        <f t="array" ref="F471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0.49969999999999998</v>
      </c>
      <c r="G471" s="25">
        <f>ROUNDUP(Table1[[#This Row],[Amount]]/Table1[[#This Row],[Exchange rate]],2)</f>
        <v>309.81</v>
      </c>
    </row>
    <row r="472" spans="2:7">
      <c r="B472" s="39" t="s">
        <v>583</v>
      </c>
      <c r="C472" s="40">
        <v>46142</v>
      </c>
      <c r="D472" s="39">
        <v>324.57</v>
      </c>
      <c r="E472" s="39" t="s">
        <v>124</v>
      </c>
      <c r="F472" s="39" cm="1">
        <f t="array" ref="F472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1</v>
      </c>
      <c r="G472" s="39">
        <f>ROUNDUP(Table1[[#This Row],[Amount]]/Table1[[#This Row],[Exchange rate]],2)</f>
        <v>324.57</v>
      </c>
    </row>
    <row r="473" spans="2:7">
      <c r="B473" s="25" t="s">
        <v>584</v>
      </c>
      <c r="C473" s="32">
        <v>46142</v>
      </c>
      <c r="D473" s="25">
        <v>349.17</v>
      </c>
      <c r="E473" s="25" t="s">
        <v>124</v>
      </c>
      <c r="F473" s="25" cm="1">
        <f t="array" ref="F473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1</v>
      </c>
      <c r="G473" s="25">
        <f>ROUNDUP(Table1[[#This Row],[Amount]]/Table1[[#This Row],[Exchange rate]],2)</f>
        <v>349.17</v>
      </c>
    </row>
    <row r="474" spans="2:7">
      <c r="B474" s="39" t="s">
        <v>585</v>
      </c>
      <c r="C474" s="40">
        <v>46142</v>
      </c>
      <c r="D474" s="39">
        <v>273.74</v>
      </c>
      <c r="E474" s="39" t="s">
        <v>108</v>
      </c>
      <c r="F474" s="39" cm="1">
        <f t="array" ref="F474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0.81869999999999998</v>
      </c>
      <c r="G474" s="39">
        <f>ROUNDUP(Table1[[#This Row],[Amount]]/Table1[[#This Row],[Exchange rate]],2)</f>
        <v>334.36</v>
      </c>
    </row>
    <row r="475" spans="2:7">
      <c r="B475" s="25" t="s">
        <v>586</v>
      </c>
      <c r="C475" s="32">
        <v>46142</v>
      </c>
      <c r="D475" s="41">
        <v>5462.4</v>
      </c>
      <c r="E475" s="25" t="s">
        <v>110</v>
      </c>
      <c r="F475" s="25" cm="1">
        <f t="array" ref="F475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55.332999999999998</v>
      </c>
      <c r="G475" s="25">
        <f>ROUNDUP(Table1[[#This Row],[Amount]]/Table1[[#This Row],[Exchange rate]],2)</f>
        <v>98.72</v>
      </c>
    </row>
    <row r="476" spans="2:7">
      <c r="B476" s="39" t="s">
        <v>587</v>
      </c>
      <c r="C476" s="40">
        <v>46142</v>
      </c>
      <c r="D476" s="39">
        <v>112.48</v>
      </c>
      <c r="E476" s="39" t="s">
        <v>107</v>
      </c>
      <c r="F476" s="39" cm="1">
        <f t="array" ref="F476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0.58335000000000004</v>
      </c>
      <c r="G476" s="39">
        <f>ROUNDUP(Table1[[#This Row],[Amount]]/Table1[[#This Row],[Exchange rate]],2)</f>
        <v>192.82</v>
      </c>
    </row>
    <row r="477" spans="2:7">
      <c r="B477" s="25" t="s">
        <v>588</v>
      </c>
      <c r="C477" s="32">
        <v>46143</v>
      </c>
      <c r="D477" s="25">
        <v>306.95</v>
      </c>
      <c r="E477" s="25" t="s">
        <v>124</v>
      </c>
      <c r="F477" s="25" cm="1">
        <f t="array" ref="F477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1</v>
      </c>
      <c r="G477" s="25">
        <f>ROUNDUP(Table1[[#This Row],[Amount]]/Table1[[#This Row],[Exchange rate]],2)</f>
        <v>306.95</v>
      </c>
    </row>
    <row r="478" spans="2:7">
      <c r="B478" s="39" t="s">
        <v>589</v>
      </c>
      <c r="C478" s="40">
        <v>46143</v>
      </c>
      <c r="D478" s="42">
        <v>34176</v>
      </c>
      <c r="E478" s="39" t="s">
        <v>110</v>
      </c>
      <c r="F478" s="39" cm="1">
        <f t="array" ref="F478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56.0608</v>
      </c>
      <c r="G478" s="39">
        <f>ROUNDUP(Table1[[#This Row],[Amount]]/Table1[[#This Row],[Exchange rate]],2)</f>
        <v>609.63</v>
      </c>
    </row>
    <row r="479" spans="2:7">
      <c r="B479" s="25" t="s">
        <v>590</v>
      </c>
      <c r="C479" s="32">
        <v>46143</v>
      </c>
      <c r="D479" s="25">
        <v>91.12</v>
      </c>
      <c r="E479" s="25" t="s">
        <v>107</v>
      </c>
      <c r="F479" s="25" cm="1">
        <f t="array" ref="F479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0.59065000000000001</v>
      </c>
      <c r="G479" s="25">
        <f>ROUNDUP(Table1[[#This Row],[Amount]]/Table1[[#This Row],[Exchange rate]],2)</f>
        <v>154.28</v>
      </c>
    </row>
    <row r="480" spans="2:7">
      <c r="B480" s="39" t="s">
        <v>591</v>
      </c>
      <c r="C480" s="40">
        <v>46143</v>
      </c>
      <c r="D480" s="39">
        <v>212.32</v>
      </c>
      <c r="E480" s="39" t="s">
        <v>124</v>
      </c>
      <c r="F480" s="39" cm="1">
        <f t="array" ref="F480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1</v>
      </c>
      <c r="G480" s="39">
        <f>ROUNDUP(Table1[[#This Row],[Amount]]/Table1[[#This Row],[Exchange rate]],2)</f>
        <v>212.32</v>
      </c>
    </row>
    <row r="481" spans="2:7">
      <c r="B481" s="25" t="s">
        <v>592</v>
      </c>
      <c r="C481" s="32">
        <v>46144</v>
      </c>
      <c r="D481" s="25">
        <v>166.3</v>
      </c>
      <c r="E481" s="25" t="s">
        <v>109</v>
      </c>
      <c r="F481" s="25" cm="1">
        <f t="array" ref="F481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0.50349999999999995</v>
      </c>
      <c r="G481" s="25">
        <f>ROUNDUP(Table1[[#This Row],[Amount]]/Table1[[#This Row],[Exchange rate]],2)</f>
        <v>330.28999999999996</v>
      </c>
    </row>
    <row r="482" spans="2:7">
      <c r="B482" s="39" t="s">
        <v>593</v>
      </c>
      <c r="C482" s="40">
        <v>46144</v>
      </c>
      <c r="D482" s="39">
        <v>412.02</v>
      </c>
      <c r="E482" s="39" t="s">
        <v>109</v>
      </c>
      <c r="F482" s="39" cm="1">
        <f t="array" ref="F482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0.50349999999999995</v>
      </c>
      <c r="G482" s="39">
        <f>ROUNDUP(Table1[[#This Row],[Amount]]/Table1[[#This Row],[Exchange rate]],2)</f>
        <v>818.31999999999994</v>
      </c>
    </row>
    <row r="483" spans="2:7">
      <c r="B483" s="25" t="s">
        <v>594</v>
      </c>
      <c r="C483" s="32">
        <v>46144</v>
      </c>
      <c r="D483" s="25">
        <v>251.62</v>
      </c>
      <c r="E483" s="25" t="s">
        <v>124</v>
      </c>
      <c r="F483" s="25" cm="1">
        <f t="array" ref="F483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1</v>
      </c>
      <c r="G483" s="25">
        <f>ROUNDUP(Table1[[#This Row],[Amount]]/Table1[[#This Row],[Exchange rate]],2)</f>
        <v>251.62</v>
      </c>
    </row>
    <row r="484" spans="2:7">
      <c r="B484" s="39" t="s">
        <v>595</v>
      </c>
      <c r="C484" s="40">
        <v>46144</v>
      </c>
      <c r="D484" s="39">
        <v>141.84</v>
      </c>
      <c r="E484" s="39" t="s">
        <v>108</v>
      </c>
      <c r="F484" s="39" cm="1">
        <f t="array" ref="F484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0.82004999999999995</v>
      </c>
      <c r="G484" s="39">
        <f>ROUNDUP(Table1[[#This Row],[Amount]]/Table1[[#This Row],[Exchange rate]],2)</f>
        <v>172.97</v>
      </c>
    </row>
    <row r="485" spans="2:7">
      <c r="B485" s="25" t="s">
        <v>596</v>
      </c>
      <c r="C485" s="32">
        <v>46145</v>
      </c>
      <c r="D485" s="41">
        <v>25648.66</v>
      </c>
      <c r="E485" s="25" t="s">
        <v>110</v>
      </c>
      <c r="F485" s="25" cm="1">
        <f t="array" ref="F485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56.0608</v>
      </c>
      <c r="G485" s="25">
        <f>ROUNDUP(Table1[[#This Row],[Amount]]/Table1[[#This Row],[Exchange rate]],2)</f>
        <v>457.52</v>
      </c>
    </row>
    <row r="486" spans="2:7">
      <c r="B486" s="39" t="s">
        <v>597</v>
      </c>
      <c r="C486" s="40">
        <v>46145</v>
      </c>
      <c r="D486" s="39">
        <v>319.29000000000002</v>
      </c>
      <c r="E486" s="39" t="s">
        <v>108</v>
      </c>
      <c r="F486" s="39" cm="1">
        <f t="array" ref="F486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0.82004999999999995</v>
      </c>
      <c r="G486" s="39">
        <f>ROUNDUP(Table1[[#This Row],[Amount]]/Table1[[#This Row],[Exchange rate]],2)</f>
        <v>389.36</v>
      </c>
    </row>
    <row r="487" spans="2:7">
      <c r="B487" s="25" t="s">
        <v>598</v>
      </c>
      <c r="C487" s="32">
        <v>46145</v>
      </c>
      <c r="D487" s="25">
        <v>310.83999999999997</v>
      </c>
      <c r="E487" s="25" t="s">
        <v>108</v>
      </c>
      <c r="F487" s="25" cm="1">
        <f t="array" ref="F487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0.82004999999999995</v>
      </c>
      <c r="G487" s="25">
        <f>ROUNDUP(Table1[[#This Row],[Amount]]/Table1[[#This Row],[Exchange rate]],2)</f>
        <v>379.06</v>
      </c>
    </row>
    <row r="488" spans="2:7">
      <c r="B488" s="39" t="s">
        <v>599</v>
      </c>
      <c r="C488" s="40">
        <v>46145</v>
      </c>
      <c r="D488" s="39">
        <v>293.61</v>
      </c>
      <c r="E488" s="39" t="s">
        <v>109</v>
      </c>
      <c r="F488" s="39" cm="1">
        <f t="array" ref="F488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0.50349999999999995</v>
      </c>
      <c r="G488" s="39">
        <f>ROUNDUP(Table1[[#This Row],[Amount]]/Table1[[#This Row],[Exchange rate]],2)</f>
        <v>583.14</v>
      </c>
    </row>
    <row r="489" spans="2:7">
      <c r="B489" s="25" t="s">
        <v>600</v>
      </c>
      <c r="C489" s="32">
        <v>46145</v>
      </c>
      <c r="D489" s="25">
        <v>462.64</v>
      </c>
      <c r="E489" s="25" t="s">
        <v>107</v>
      </c>
      <c r="F489" s="25" cm="1">
        <f t="array" ref="F489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0.59065000000000001</v>
      </c>
      <c r="G489" s="25">
        <f>ROUNDUP(Table1[[#This Row],[Amount]]/Table1[[#This Row],[Exchange rate]],2)</f>
        <v>783.28</v>
      </c>
    </row>
    <row r="490" spans="2:7">
      <c r="B490" s="39" t="s">
        <v>601</v>
      </c>
      <c r="C490" s="40">
        <v>46146</v>
      </c>
      <c r="D490" s="39">
        <v>87.01</v>
      </c>
      <c r="E490" s="39" t="s">
        <v>108</v>
      </c>
      <c r="F490" s="39" cm="1">
        <f t="array" ref="F490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0.82004999999999995</v>
      </c>
      <c r="G490" s="39">
        <f>ROUNDUP(Table1[[#This Row],[Amount]]/Table1[[#This Row],[Exchange rate]],2)</f>
        <v>106.11</v>
      </c>
    </row>
    <row r="491" spans="2:7">
      <c r="B491" s="25" t="s">
        <v>602</v>
      </c>
      <c r="C491" s="32">
        <v>46146</v>
      </c>
      <c r="D491" s="25">
        <v>379.61</v>
      </c>
      <c r="E491" s="25" t="s">
        <v>107</v>
      </c>
      <c r="F491" s="25" cm="1">
        <f t="array" ref="F491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0.59065000000000001</v>
      </c>
      <c r="G491" s="25">
        <f>ROUNDUP(Table1[[#This Row],[Amount]]/Table1[[#This Row],[Exchange rate]],2)</f>
        <v>642.70000000000005</v>
      </c>
    </row>
    <row r="492" spans="2:7">
      <c r="B492" s="39" t="s">
        <v>603</v>
      </c>
      <c r="C492" s="40">
        <v>46146</v>
      </c>
      <c r="D492" s="39">
        <v>89.75</v>
      </c>
      <c r="E492" s="39" t="s">
        <v>109</v>
      </c>
      <c r="F492" s="39" cm="1">
        <f t="array" ref="F492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0.50349999999999995</v>
      </c>
      <c r="G492" s="39">
        <f>ROUNDUP(Table1[[#This Row],[Amount]]/Table1[[#This Row],[Exchange rate]],2)</f>
        <v>178.26</v>
      </c>
    </row>
    <row r="493" spans="2:7">
      <c r="B493" s="25" t="s">
        <v>604</v>
      </c>
      <c r="C493" s="32">
        <v>46146</v>
      </c>
      <c r="D493" s="25">
        <v>234.12</v>
      </c>
      <c r="E493" s="25" t="s">
        <v>124</v>
      </c>
      <c r="F493" s="25" cm="1">
        <f t="array" ref="F493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1</v>
      </c>
      <c r="G493" s="25">
        <f>ROUNDUP(Table1[[#This Row],[Amount]]/Table1[[#This Row],[Exchange rate]],2)</f>
        <v>234.12</v>
      </c>
    </row>
    <row r="494" spans="2:7">
      <c r="B494" s="39" t="s">
        <v>605</v>
      </c>
      <c r="C494" s="40">
        <v>46147</v>
      </c>
      <c r="D494" s="39">
        <v>75.400000000000006</v>
      </c>
      <c r="E494" s="39" t="s">
        <v>109</v>
      </c>
      <c r="F494" s="39" cm="1">
        <f t="array" ref="F494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0.50349999999999995</v>
      </c>
      <c r="G494" s="39">
        <f>ROUNDUP(Table1[[#This Row],[Amount]]/Table1[[#This Row],[Exchange rate]],2)</f>
        <v>149.76</v>
      </c>
    </row>
    <row r="495" spans="2:7">
      <c r="B495" s="25" t="s">
        <v>606</v>
      </c>
      <c r="C495" s="32">
        <v>46147</v>
      </c>
      <c r="D495" s="25">
        <v>492.05</v>
      </c>
      <c r="E495" s="25" t="s">
        <v>124</v>
      </c>
      <c r="F495" s="25" cm="1">
        <f t="array" ref="F495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1</v>
      </c>
      <c r="G495" s="25">
        <f>ROUNDUP(Table1[[#This Row],[Amount]]/Table1[[#This Row],[Exchange rate]],2)</f>
        <v>492.05</v>
      </c>
    </row>
    <row r="496" spans="2:7">
      <c r="B496" s="39" t="s">
        <v>607</v>
      </c>
      <c r="C496" s="40">
        <v>46147</v>
      </c>
      <c r="D496" s="39">
        <v>177.05</v>
      </c>
      <c r="E496" s="39" t="s">
        <v>107</v>
      </c>
      <c r="F496" s="39" cm="1">
        <f t="array" ref="F496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0.59065000000000001</v>
      </c>
      <c r="G496" s="39">
        <f>ROUNDUP(Table1[[#This Row],[Amount]]/Table1[[#This Row],[Exchange rate]],2)</f>
        <v>299.76</v>
      </c>
    </row>
    <row r="497" spans="2:7">
      <c r="B497" s="25" t="s">
        <v>608</v>
      </c>
      <c r="C497" s="32">
        <v>46148</v>
      </c>
      <c r="D497" s="25">
        <v>499.12</v>
      </c>
      <c r="E497" s="25" t="s">
        <v>107</v>
      </c>
      <c r="F497" s="25" cm="1">
        <f t="array" ref="F497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0.59065000000000001</v>
      </c>
      <c r="G497" s="25">
        <f>ROUNDUP(Table1[[#This Row],[Amount]]/Table1[[#This Row],[Exchange rate]],2)</f>
        <v>845.04</v>
      </c>
    </row>
    <row r="498" spans="2:7">
      <c r="B498" s="39" t="s">
        <v>609</v>
      </c>
      <c r="C498" s="40">
        <v>46148</v>
      </c>
      <c r="D498" s="42">
        <v>17180.87</v>
      </c>
      <c r="E498" s="39" t="s">
        <v>110</v>
      </c>
      <c r="F498" s="39" cm="1">
        <f t="array" ref="F498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56.0608</v>
      </c>
      <c r="G498" s="39">
        <f>ROUNDUP(Table1[[#This Row],[Amount]]/Table1[[#This Row],[Exchange rate]],2)</f>
        <v>306.46999999999997</v>
      </c>
    </row>
    <row r="499" spans="2:7">
      <c r="B499" s="25" t="s">
        <v>610</v>
      </c>
      <c r="C499" s="32">
        <v>46148</v>
      </c>
      <c r="D499" s="25">
        <v>333.13</v>
      </c>
      <c r="E499" s="25" t="s">
        <v>109</v>
      </c>
      <c r="F499" s="25" cm="1">
        <f t="array" ref="F499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0.50349999999999995</v>
      </c>
      <c r="G499" s="25">
        <f>ROUNDUP(Table1[[#This Row],[Amount]]/Table1[[#This Row],[Exchange rate]],2)</f>
        <v>661.63</v>
      </c>
    </row>
    <row r="500" spans="2:7">
      <c r="B500" s="39" t="s">
        <v>611</v>
      </c>
      <c r="C500" s="40">
        <v>46148</v>
      </c>
      <c r="D500" s="39">
        <v>333.98</v>
      </c>
      <c r="E500" s="39" t="s">
        <v>109</v>
      </c>
      <c r="F500" s="39" cm="1">
        <f t="array" ref="F500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0.50349999999999995</v>
      </c>
      <c r="G500" s="39">
        <f>ROUNDUP(Table1[[#This Row],[Amount]]/Table1[[#This Row],[Exchange rate]],2)</f>
        <v>663.31999999999994</v>
      </c>
    </row>
    <row r="501" spans="2:7">
      <c r="B501" s="25" t="s">
        <v>612</v>
      </c>
      <c r="C501" s="32">
        <v>46149</v>
      </c>
      <c r="D501" s="25">
        <v>487.17</v>
      </c>
      <c r="E501" s="25" t="s">
        <v>108</v>
      </c>
      <c r="F501" s="25" cm="1">
        <f t="array" ref="F501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0.82004999999999995</v>
      </c>
      <c r="G501" s="25">
        <f>ROUNDUP(Table1[[#This Row],[Amount]]/Table1[[#This Row],[Exchange rate]],2)</f>
        <v>594.08000000000004</v>
      </c>
    </row>
    <row r="502" spans="2:7">
      <c r="B502" s="39" t="s">
        <v>613</v>
      </c>
      <c r="C502" s="40">
        <v>46149</v>
      </c>
      <c r="D502" s="39">
        <v>327.9</v>
      </c>
      <c r="E502" s="39" t="s">
        <v>124</v>
      </c>
      <c r="F502" s="39" cm="1">
        <f t="array" ref="F502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1</v>
      </c>
      <c r="G502" s="39">
        <f>ROUNDUP(Table1[[#This Row],[Amount]]/Table1[[#This Row],[Exchange rate]],2)</f>
        <v>327.9</v>
      </c>
    </row>
    <row r="503" spans="2:7">
      <c r="B503" s="25" t="s">
        <v>614</v>
      </c>
      <c r="C503" s="32">
        <v>46149</v>
      </c>
      <c r="D503" s="25">
        <v>384.78</v>
      </c>
      <c r="E503" s="25" t="s">
        <v>124</v>
      </c>
      <c r="F503" s="25" cm="1">
        <f t="array" ref="F503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1</v>
      </c>
      <c r="G503" s="25">
        <f>ROUNDUP(Table1[[#This Row],[Amount]]/Table1[[#This Row],[Exchange rate]],2)</f>
        <v>384.78</v>
      </c>
    </row>
    <row r="504" spans="2:7">
      <c r="B504" s="39" t="s">
        <v>615</v>
      </c>
      <c r="C504" s="40">
        <v>46149</v>
      </c>
      <c r="D504" s="39">
        <v>348.47</v>
      </c>
      <c r="E504" s="39" t="s">
        <v>108</v>
      </c>
      <c r="F504" s="39" cm="1">
        <f t="array" ref="F504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0.82004999999999995</v>
      </c>
      <c r="G504" s="39">
        <f>ROUNDUP(Table1[[#This Row],[Amount]]/Table1[[#This Row],[Exchange rate]],2)</f>
        <v>424.94</v>
      </c>
    </row>
    <row r="505" spans="2:7">
      <c r="B505" s="25" t="s">
        <v>616</v>
      </c>
      <c r="C505" s="32">
        <v>46149</v>
      </c>
      <c r="D505" s="25">
        <v>247.86</v>
      </c>
      <c r="E505" s="25" t="s">
        <v>107</v>
      </c>
      <c r="F505" s="25" cm="1">
        <f t="array" ref="F505">_xlfn.LET(_xlpm.my_date,Table1[[#This Row],[Date]],_xlpm.myfx,Table1[[#This Row],[Currency]],_xlpm.myrates,_xlfn.XLOOKUP(_xlpm.myfx,$N$3:$Q$3,$N$4:$Q$26),_xlpm.mydates,$M$4:$M$26,_xlpm.rate_to_use, _xlfn.XLOOKUP(_xlpm.my_date,_xlpm.mydates,_xlpm.myrates,1,-1),IF(_xlpm.myfx ="NZD",1,_xlpm.rate_to_use))</f>
        <v>0.59065000000000001</v>
      </c>
      <c r="G505" s="25">
        <f>ROUNDUP(Table1[[#This Row],[Amount]]/Table1[[#This Row],[Exchange rate]],2)</f>
        <v>419.64</v>
      </c>
    </row>
  </sheetData>
  <mergeCells count="1">
    <mergeCell ref="N2:Q2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0EC9C-5683-4300-81A4-3817AE42C36E}">
  <dimension ref="A1:R2005"/>
  <sheetViews>
    <sheetView workbookViewId="0">
      <selection activeCell="F9" sqref="F9"/>
    </sheetView>
  </sheetViews>
  <sheetFormatPr defaultRowHeight="15"/>
  <cols>
    <col min="2" max="2" width="48.28515625" customWidth="1"/>
    <col min="3" max="3" width="10.85546875" bestFit="1" customWidth="1"/>
    <col min="4" max="4" width="31.7109375" customWidth="1"/>
    <col min="5" max="6" width="15" customWidth="1"/>
    <col min="10" max="10" width="19.5703125" customWidth="1"/>
    <col min="11" max="11" width="12" customWidth="1"/>
    <col min="12" max="12" width="11.85546875" customWidth="1"/>
    <col min="17" max="17" width="14.7109375" customWidth="1"/>
    <col min="18" max="18" width="12.85546875" customWidth="1"/>
  </cols>
  <sheetData>
    <row r="1" spans="1:18" ht="27.75">
      <c r="A1" s="49" t="s">
        <v>102</v>
      </c>
      <c r="B1" s="53" t="s">
        <v>617</v>
      </c>
      <c r="C1" s="50"/>
      <c r="D1" s="49" t="s">
        <v>102</v>
      </c>
      <c r="E1" s="49" t="s">
        <v>102</v>
      </c>
      <c r="F1" s="49" t="s">
        <v>102</v>
      </c>
      <c r="G1" s="49" t="s">
        <v>102</v>
      </c>
      <c r="H1" s="49" t="s">
        <v>102</v>
      </c>
      <c r="I1" s="49" t="s">
        <v>102</v>
      </c>
      <c r="J1" s="49" t="s">
        <v>102</v>
      </c>
    </row>
    <row r="2" spans="1:18">
      <c r="A2" s="25"/>
      <c r="B2" s="34"/>
      <c r="C2" s="25"/>
      <c r="D2" s="25"/>
      <c r="E2" s="25"/>
      <c r="F2" s="25"/>
      <c r="G2" s="25"/>
      <c r="H2" s="25"/>
      <c r="I2" s="25"/>
      <c r="J2" s="25"/>
    </row>
    <row r="3" spans="1:18" ht="40.5" customHeight="1">
      <c r="A3" s="25"/>
      <c r="B3" s="54" t="s">
        <v>618</v>
      </c>
      <c r="C3" s="51"/>
      <c r="D3" s="51"/>
      <c r="E3" s="51"/>
      <c r="F3" s="51"/>
      <c r="G3" s="51"/>
      <c r="H3" s="51"/>
      <c r="I3" s="51"/>
      <c r="J3" s="51"/>
    </row>
    <row r="4" spans="1:18">
      <c r="A4" s="25"/>
      <c r="B4" s="54"/>
      <c r="C4" s="25"/>
      <c r="D4" s="25"/>
      <c r="E4" s="25"/>
      <c r="F4" s="25"/>
      <c r="G4" s="25"/>
      <c r="H4" s="25"/>
      <c r="I4" s="25"/>
      <c r="J4" s="25"/>
    </row>
    <row r="5" spans="1:18">
      <c r="A5" s="25"/>
      <c r="B5" s="55" t="s">
        <v>619</v>
      </c>
      <c r="C5" s="52">
        <v>500</v>
      </c>
      <c r="D5" s="25"/>
      <c r="E5" s="25"/>
      <c r="F5" s="25"/>
      <c r="G5" s="25"/>
      <c r="H5" s="25"/>
      <c r="I5" s="25"/>
      <c r="J5" s="58" t="s">
        <v>1</v>
      </c>
      <c r="K5" s="58" t="s">
        <v>106</v>
      </c>
      <c r="L5" s="58" t="s">
        <v>620</v>
      </c>
    </row>
    <row r="6" spans="1:18" ht="20.25" customHeight="1">
      <c r="J6" s="39" t="s">
        <v>49</v>
      </c>
      <c r="K6" s="40">
        <v>46023</v>
      </c>
      <c r="L6" s="39">
        <v>10</v>
      </c>
      <c r="Q6" s="57" t="s">
        <v>11</v>
      </c>
      <c r="R6" s="9" t="s">
        <v>621</v>
      </c>
    </row>
    <row r="7" spans="1:18">
      <c r="B7" s="56" t="s">
        <v>622</v>
      </c>
      <c r="C7" s="56" t="s">
        <v>623</v>
      </c>
      <c r="D7" s="56" t="s">
        <v>624</v>
      </c>
      <c r="E7" s="56" t="s">
        <v>625</v>
      </c>
      <c r="F7" s="56" t="s">
        <v>626</v>
      </c>
      <c r="J7" s="25" t="s">
        <v>82</v>
      </c>
      <c r="K7" s="32">
        <v>46023</v>
      </c>
      <c r="L7" s="25">
        <v>7</v>
      </c>
    </row>
    <row r="8" spans="1:18" ht="18" customHeight="1">
      <c r="B8" s="57" t="s">
        <v>11</v>
      </c>
      <c r="C8" s="57">
        <f>SUMIFS(Leadtable[Leads],Leadtable[Name],B8)</f>
        <v>557</v>
      </c>
      <c r="D8" s="60" cm="1">
        <f t="array" ref="D8">_xlfn.LET(_xlpm.me,B8,_xlpm.my_data,_xlfn._xlws.SORT(_xlfn._xlws.FILTER(Leadtable[],Leadtable[Name]=_xlpm.me),2),
_xlpm.mydate, _xlfn.CHOOSECOLS(_xlpm.my_data,2),_xlpm.myleads,_xlfn.CHOOSECOLS(_xlpm.my_data,3),_xlpm.cummulative_leads,_xlfn.SCAN(0,_xlpm.myleads,_xleta.SUM),
_xlpm.target_reached_on,_xlfn.XLOOKUP($C$5,_xlpm.cummulative_leads,_xlpm.mydate,"Not Reached",1),_xlpm.target_reached_on)</f>
        <v>46151</v>
      </c>
      <c r="E8" s="59" cm="1">
        <f t="array" ref="E8">IF($D8="Not Reached","Not Reached",_xlfn.LET(_xlpm.first_date,MIN(Leadtable[Date],Leadtable[Name]=$B8),_xlpm.days_taken,($D8-_xlpm.first_date)+1,
_xlpm.avg_per_day,ROUND($C$5/_xlpm.days_taken,2),_xlpm.avg_per_day))</f>
        <v>3.88</v>
      </c>
      <c r="F8" s="9" t="str">
        <f>IF(ISNUMBER(D8),
"Target Achieved",
"Behind Target")</f>
        <v>Target Achieved</v>
      </c>
      <c r="J8" s="39" t="s">
        <v>63</v>
      </c>
      <c r="K8" s="40">
        <v>46023</v>
      </c>
      <c r="L8" s="39">
        <v>3</v>
      </c>
    </row>
    <row r="9" spans="1:18">
      <c r="B9" s="57" t="s">
        <v>18</v>
      </c>
      <c r="C9" s="57">
        <f>SUMIFS(Leadtable[Leads],Leadtable[Name],B9)</f>
        <v>620</v>
      </c>
      <c r="D9" s="60" cm="1">
        <f t="array" ref="D9">_xlfn.LET(_xlpm.me,B9,_xlpm.my_data,_xlfn._xlws.SORT(_xlfn._xlws.FILTER(Leadtable[],Leadtable[Name]=_xlpm.me),2),
_xlpm.mydate, _xlfn.CHOOSECOLS(_xlpm.my_data,2),_xlpm.myleads,_xlfn.CHOOSECOLS(_xlpm.my_data,3),_xlpm.cummulative_leads,_xlfn.SCAN(0,_xlpm.myleads,_xleta.SUM),
_xlpm.target_reached_on,_xlfn.XLOOKUP($C$5,_xlpm.cummulative_leads,_xlpm.mydate,"Not Reached",1),_xlpm.target_reached_on)</f>
        <v>46121</v>
      </c>
      <c r="E9" s="59" cm="1">
        <f t="array" ref="E9">IF($D9="Not Reached","Not Reached",_xlfn.LET(_xlpm.first_date,MIN(Leadtable[Date],Leadtable[Name]=$B9),_xlpm.days_taken,($D9-_xlpm.first_date)+1,
_xlpm.avg_per_day,ROUND($C$5/_xlpm.days_taken,2),_xlpm.avg_per_day))</f>
        <v>5.05</v>
      </c>
      <c r="F9" s="9" t="str">
        <f t="shared" ref="F9:F42" si="0">IF(ISNUMBER(D9),
"Target Achieved",
"Behind Target")</f>
        <v>Target Achieved</v>
      </c>
      <c r="J9" s="25" t="s">
        <v>88</v>
      </c>
      <c r="K9" s="32">
        <v>46023</v>
      </c>
      <c r="L9" s="25">
        <v>1</v>
      </c>
    </row>
    <row r="10" spans="1:18">
      <c r="B10" s="57" t="s">
        <v>23</v>
      </c>
      <c r="C10" s="57">
        <f>SUMIFS(Leadtable[Leads],Leadtable[Name],B10)</f>
        <v>511</v>
      </c>
      <c r="D10" s="60" cm="1">
        <f t="array" ref="D10">_xlfn.LET(_xlpm.me,B10,_xlpm.my_data,_xlfn._xlws.SORT(_xlfn._xlws.FILTER(Leadtable[],Leadtable[Name]=_xlpm.me),2),
_xlpm.mydate, _xlfn.CHOOSECOLS(_xlpm.my_data,2),_xlpm.myleads,_xlfn.CHOOSECOLS(_xlpm.my_data,3),_xlpm.cummulative_leads,_xlfn.SCAN(0,_xlpm.myleads,_xleta.SUM),
_xlpm.target_reached_on,_xlfn.XLOOKUP($C$5,_xlpm.cummulative_leads,_xlpm.mydate,"Not Reached",1),_xlpm.target_reached_on)</f>
        <v>46164</v>
      </c>
      <c r="E10" s="59" cm="1">
        <f t="array" ref="E10">IF($D10="Not Reached","Not Reached",_xlfn.LET(_xlpm.first_date,MIN(Leadtable[Date],Leadtable[Name]=$B10),_xlpm.days_taken,($D10-_xlpm.first_date)+1,
_xlpm.avg_per_day,ROUND($C$5/_xlpm.days_taken,2),_xlpm.avg_per_day))</f>
        <v>3.52</v>
      </c>
      <c r="F10" s="9" t="str">
        <f t="shared" si="0"/>
        <v>Target Achieved</v>
      </c>
      <c r="J10" s="39" t="s">
        <v>23</v>
      </c>
      <c r="K10" s="40">
        <v>46023</v>
      </c>
      <c r="L10" s="39">
        <v>4</v>
      </c>
    </row>
    <row r="11" spans="1:18">
      <c r="B11" s="57" t="s">
        <v>28</v>
      </c>
      <c r="C11" s="57">
        <f>SUMIFS(Leadtable[Leads],Leadtable[Name],B11)</f>
        <v>568</v>
      </c>
      <c r="D11" s="60" cm="1">
        <f t="array" ref="D11">_xlfn.LET(_xlpm.me,B11,_xlpm.my_data,_xlfn._xlws.SORT(_xlfn._xlws.FILTER(Leadtable[],Leadtable[Name]=_xlpm.me),2),
_xlpm.mydate, _xlfn.CHOOSECOLS(_xlpm.my_data,2),_xlpm.myleads,_xlfn.CHOOSECOLS(_xlpm.my_data,3),_xlpm.cummulative_leads,_xlfn.SCAN(0,_xlpm.myleads,_xleta.SUM),
_xlpm.target_reached_on,_xlfn.XLOOKUP($C$5,_xlpm.cummulative_leads,_xlpm.mydate,"Not Reached",1),_xlpm.target_reached_on)</f>
        <v>46148</v>
      </c>
      <c r="E11" s="59" cm="1">
        <f t="array" ref="E11">IF($D11="Not Reached","Not Reached",_xlfn.LET(_xlpm.first_date,MIN(Leadtable[Date],Leadtable[Name]=$B11),_xlpm.days_taken,($D11-_xlpm.first_date)+1,
_xlpm.avg_per_day,ROUND($C$5/_xlpm.days_taken,2),_xlpm.avg_per_day))</f>
        <v>3.97</v>
      </c>
      <c r="F11" s="9" t="str">
        <f t="shared" si="0"/>
        <v>Target Achieved</v>
      </c>
      <c r="J11" s="25" t="s">
        <v>23</v>
      </c>
      <c r="K11" s="32">
        <v>46023</v>
      </c>
      <c r="L11" s="25">
        <v>4</v>
      </c>
    </row>
    <row r="12" spans="1:18">
      <c r="B12" s="57" t="s">
        <v>31</v>
      </c>
      <c r="C12" s="57">
        <f>SUMIFS(Leadtable[Leads],Leadtable[Name],B12)</f>
        <v>548</v>
      </c>
      <c r="D12" s="60" cm="1">
        <f t="array" ref="D12">_xlfn.LET(_xlpm.me,B12,_xlpm.my_data,_xlfn._xlws.SORT(_xlfn._xlws.FILTER(Leadtable[],Leadtable[Name]=_xlpm.me),2),
_xlpm.mydate, _xlfn.CHOOSECOLS(_xlpm.my_data,2),_xlpm.myleads,_xlfn.CHOOSECOLS(_xlpm.my_data,3),_xlpm.cummulative_leads,_xlfn.SCAN(0,_xlpm.myleads,_xleta.SUM),
_xlpm.target_reached_on,_xlfn.XLOOKUP($C$5,_xlpm.cummulative_leads,_xlpm.mydate,"Not Reached",1),_xlpm.target_reached_on)</f>
        <v>46147</v>
      </c>
      <c r="E12" s="59" cm="1">
        <f t="array" ref="E12">IF($D12="Not Reached","Not Reached",_xlfn.LET(_xlpm.first_date,MIN(Leadtable[Date],Leadtable[Name]=$B12),_xlpm.days_taken,($D12-_xlpm.first_date)+1,
_xlpm.avg_per_day,ROUND($C$5/_xlpm.days_taken,2),_xlpm.avg_per_day))</f>
        <v>4</v>
      </c>
      <c r="F12" s="9" t="str">
        <f t="shared" si="0"/>
        <v>Target Achieved</v>
      </c>
      <c r="J12" s="39" t="s">
        <v>53</v>
      </c>
      <c r="K12" s="40">
        <v>46023</v>
      </c>
      <c r="L12" s="39">
        <v>8</v>
      </c>
    </row>
    <row r="13" spans="1:18">
      <c r="B13" s="57" t="s">
        <v>35</v>
      </c>
      <c r="C13" s="57">
        <f>SUMIFS(Leadtable[Leads],Leadtable[Name],B13)</f>
        <v>495</v>
      </c>
      <c r="D13" s="60" t="str" cm="1">
        <f t="array" ref="D13">_xlfn.LET(_xlpm.me,B13,_xlpm.my_data,_xlfn._xlws.SORT(_xlfn._xlws.FILTER(Leadtable[],Leadtable[Name]=_xlpm.me),2),
_xlpm.mydate, _xlfn.CHOOSECOLS(_xlpm.my_data,2),_xlpm.myleads,_xlfn.CHOOSECOLS(_xlpm.my_data,3),_xlpm.cummulative_leads,_xlfn.SCAN(0,_xlpm.myleads,_xleta.SUM),
_xlpm.target_reached_on,_xlfn.XLOOKUP($C$5,_xlpm.cummulative_leads,_xlpm.mydate,"Not Reached",1),_xlpm.target_reached_on)</f>
        <v>Not Reached</v>
      </c>
      <c r="E13" s="59" t="str" cm="1">
        <f t="array" ref="E13">IF($D13="Not Reached","Not Reached",_xlfn.LET(_xlpm.first_date,MIN(Leadtable[Date],Leadtable[Name]=$B13),_xlpm.days_taken,($D13-_xlpm.first_date)+1,
_xlpm.avg_per_day,ROUND($C$5/_xlpm.days_taken,2),_xlpm.avg_per_day))</f>
        <v>Not Reached</v>
      </c>
      <c r="F13" s="9" t="str">
        <f t="shared" si="0"/>
        <v>Behind Target</v>
      </c>
      <c r="J13" s="25" t="s">
        <v>63</v>
      </c>
      <c r="K13" s="32">
        <v>46023</v>
      </c>
      <c r="L13" s="25">
        <v>1</v>
      </c>
    </row>
    <row r="14" spans="1:18">
      <c r="B14" s="57" t="s">
        <v>38</v>
      </c>
      <c r="C14" s="57">
        <f>SUMIFS(Leadtable[Leads],Leadtable[Name],B14)</f>
        <v>506</v>
      </c>
      <c r="D14" s="60" cm="1">
        <f t="array" ref="D14">_xlfn.LET(_xlpm.me,B14,_xlpm.my_data,_xlfn._xlws.SORT(_xlfn._xlws.FILTER(Leadtable[],Leadtable[Name]=_xlpm.me),2),
_xlpm.mydate, _xlfn.CHOOSECOLS(_xlpm.my_data,2),_xlpm.myleads,_xlfn.CHOOSECOLS(_xlpm.my_data,3),_xlpm.cummulative_leads,_xlfn.SCAN(0,_xlpm.myleads,_xleta.SUM),
_xlpm.target_reached_on,_xlfn.XLOOKUP($C$5,_xlpm.cummulative_leads,_xlpm.mydate,"Not Reached",1),_xlpm.target_reached_on)</f>
        <v>46165</v>
      </c>
      <c r="E14" s="59" cm="1">
        <f t="array" ref="E14">IF($D14="Not Reached","Not Reached",_xlfn.LET(_xlpm.first_date,MIN(Leadtable[Date],Leadtable[Name]=$B14),_xlpm.days_taken,($D14-_xlpm.first_date)+1,
_xlpm.avg_per_day,ROUND($C$5/_xlpm.days_taken,2),_xlpm.avg_per_day))</f>
        <v>3.5</v>
      </c>
      <c r="F14" s="9" t="str">
        <f t="shared" si="0"/>
        <v>Target Achieved</v>
      </c>
      <c r="J14" s="39" t="s">
        <v>18</v>
      </c>
      <c r="K14" s="40">
        <v>46023</v>
      </c>
      <c r="L14" s="39">
        <v>8</v>
      </c>
    </row>
    <row r="15" spans="1:18">
      <c r="B15" s="57" t="s">
        <v>40</v>
      </c>
      <c r="C15" s="57">
        <f>SUMIFS(Leadtable[Leads],Leadtable[Name],B15)</f>
        <v>641</v>
      </c>
      <c r="D15" s="60" cm="1">
        <f t="array" ref="D15">_xlfn.LET(_xlpm.me,B15,_xlpm.my_data,_xlfn._xlws.SORT(_xlfn._xlws.FILTER(Leadtable[],Leadtable[Name]=_xlpm.me),2),
_xlpm.mydate, _xlfn.CHOOSECOLS(_xlpm.my_data,2),_xlpm.myleads,_xlfn.CHOOSECOLS(_xlpm.my_data,3),_xlpm.cummulative_leads,_xlfn.SCAN(0,_xlpm.myleads,_xleta.SUM),
_xlpm.target_reached_on,_xlfn.XLOOKUP($C$5,_xlpm.cummulative_leads,_xlpm.mydate,"Not Reached",1),_xlpm.target_reached_on)</f>
        <v>46135</v>
      </c>
      <c r="E15" s="59" cm="1">
        <f t="array" ref="E15">IF($D15="Not Reached","Not Reached",_xlfn.LET(_xlpm.first_date,MIN(Leadtable[Date],Leadtable[Name]=$B15),_xlpm.days_taken,($D15-_xlpm.first_date)+1,
_xlpm.avg_per_day,ROUND($C$5/_xlpm.days_taken,2),_xlpm.avg_per_day))</f>
        <v>4.42</v>
      </c>
      <c r="F15" s="9" t="str">
        <f t="shared" si="0"/>
        <v>Target Achieved</v>
      </c>
      <c r="J15" s="25" t="s">
        <v>100</v>
      </c>
      <c r="K15" s="32">
        <v>46023</v>
      </c>
      <c r="L15" s="25">
        <v>10</v>
      </c>
    </row>
    <row r="16" spans="1:18">
      <c r="B16" s="57" t="s">
        <v>43</v>
      </c>
      <c r="C16" s="57">
        <f>SUMIFS(Leadtable[Leads],Leadtable[Name],B16)</f>
        <v>515</v>
      </c>
      <c r="D16" s="60" cm="1">
        <f t="array" ref="D16">_xlfn.LET(_xlpm.me,B16,_xlpm.my_data,_xlfn._xlws.SORT(_xlfn._xlws.FILTER(Leadtable[],Leadtable[Name]=_xlpm.me),2),
_xlpm.mydate, _xlfn.CHOOSECOLS(_xlpm.my_data,2),_xlpm.myleads,_xlfn.CHOOSECOLS(_xlpm.my_data,3),_xlpm.cummulative_leads,_xlfn.SCAN(0,_xlpm.myleads,_xleta.SUM),
_xlpm.target_reached_on,_xlfn.XLOOKUP($C$5,_xlpm.cummulative_leads,_xlpm.mydate,"Not Reached",1),_xlpm.target_reached_on)</f>
        <v>46165</v>
      </c>
      <c r="E16" s="59" cm="1">
        <f t="array" ref="E16">IF($D16="Not Reached","Not Reached",_xlfn.LET(_xlpm.first_date,MIN(Leadtable[Date],Leadtable[Name]=$B16),_xlpm.days_taken,($D16-_xlpm.first_date)+1,
_xlpm.avg_per_day,ROUND($C$5/_xlpm.days_taken,2),_xlpm.avg_per_day))</f>
        <v>3.5</v>
      </c>
      <c r="F16" s="9" t="str">
        <f t="shared" si="0"/>
        <v>Target Achieved</v>
      </c>
      <c r="J16" s="39" t="s">
        <v>96</v>
      </c>
      <c r="K16" s="40">
        <v>46023</v>
      </c>
      <c r="L16" s="39">
        <v>13</v>
      </c>
    </row>
    <row r="17" spans="2:12">
      <c r="B17" s="57" t="s">
        <v>46</v>
      </c>
      <c r="C17" s="57">
        <f>SUMIFS(Leadtable[Leads],Leadtable[Name],B17)</f>
        <v>353</v>
      </c>
      <c r="D17" s="60" t="str" cm="1">
        <f t="array" ref="D17">_xlfn.LET(_xlpm.me,B17,_xlpm.my_data,_xlfn._xlws.SORT(_xlfn._xlws.FILTER(Leadtable[],Leadtable[Name]=_xlpm.me),2),
_xlpm.mydate, _xlfn.CHOOSECOLS(_xlpm.my_data,2),_xlpm.myleads,_xlfn.CHOOSECOLS(_xlpm.my_data,3),_xlpm.cummulative_leads,_xlfn.SCAN(0,_xlpm.myleads,_xleta.SUM),
_xlpm.target_reached_on,_xlfn.XLOOKUP($C$5,_xlpm.cummulative_leads,_xlpm.mydate,"Not Reached",1),_xlpm.target_reached_on)</f>
        <v>Not Reached</v>
      </c>
      <c r="E17" s="59" t="str" cm="1">
        <f t="array" ref="E17">IF($D17="Not Reached","Not Reached",_xlfn.LET(_xlpm.first_date,MIN(Leadtable[Date],Leadtable[Name]=$B17),_xlpm.days_taken,($D17-_xlpm.first_date)+1,
_xlpm.avg_per_day,ROUND($C$5/_xlpm.days_taken,2),_xlpm.avg_per_day))</f>
        <v>Not Reached</v>
      </c>
      <c r="F17" s="9" t="str">
        <f t="shared" si="0"/>
        <v>Behind Target</v>
      </c>
      <c r="J17" s="25" t="s">
        <v>28</v>
      </c>
      <c r="K17" s="32">
        <v>46023</v>
      </c>
      <c r="L17" s="25">
        <v>3</v>
      </c>
    </row>
    <row r="18" spans="2:12">
      <c r="B18" s="57" t="s">
        <v>49</v>
      </c>
      <c r="C18" s="57">
        <f>SUMIFS(Leadtable[Leads],Leadtable[Name],B18)</f>
        <v>538</v>
      </c>
      <c r="D18" s="60" cm="1">
        <f t="array" ref="D18">_xlfn.LET(_xlpm.me,B18,_xlpm.my_data,_xlfn._xlws.SORT(_xlfn._xlws.FILTER(Leadtable[],Leadtable[Name]=_xlpm.me),2),
_xlpm.mydate, _xlfn.CHOOSECOLS(_xlpm.my_data,2),_xlpm.myleads,_xlfn.CHOOSECOLS(_xlpm.my_data,3),_xlpm.cummulative_leads,_xlfn.SCAN(0,_xlpm.myleads,_xleta.SUM),
_xlpm.target_reached_on,_xlfn.XLOOKUP($C$5,_xlpm.cummulative_leads,_xlpm.mydate,"Not Reached",1),_xlpm.target_reached_on)</f>
        <v>46153</v>
      </c>
      <c r="E18" s="59" cm="1">
        <f t="array" ref="E18">IF($D18="Not Reached","Not Reached",_xlfn.LET(_xlpm.first_date,MIN(Leadtable[Date],Leadtable[Name]=$B18),_xlpm.days_taken,($D18-_xlpm.first_date)+1,
_xlpm.avg_per_day,ROUND($C$5/_xlpm.days_taken,2),_xlpm.avg_per_day))</f>
        <v>3.82</v>
      </c>
      <c r="F18" s="9" t="str">
        <f t="shared" si="0"/>
        <v>Target Achieved</v>
      </c>
      <c r="J18" s="39" t="s">
        <v>67</v>
      </c>
      <c r="K18" s="40">
        <v>46023</v>
      </c>
      <c r="L18" s="39">
        <v>22</v>
      </c>
    </row>
    <row r="19" spans="2:12">
      <c r="B19" s="57" t="s">
        <v>51</v>
      </c>
      <c r="C19" s="57">
        <f>SUMIFS(Leadtable[Leads],Leadtable[Name],B19)</f>
        <v>498</v>
      </c>
      <c r="D19" s="60" t="str" cm="1">
        <f t="array" ref="D19">_xlfn.LET(_xlpm.me,B19,_xlpm.my_data,_xlfn._xlws.SORT(_xlfn._xlws.FILTER(Leadtable[],Leadtable[Name]=_xlpm.me),2),
_xlpm.mydate, _xlfn.CHOOSECOLS(_xlpm.my_data,2),_xlpm.myleads,_xlfn.CHOOSECOLS(_xlpm.my_data,3),_xlpm.cummulative_leads,_xlfn.SCAN(0,_xlpm.myleads,_xleta.SUM),
_xlpm.target_reached_on,_xlfn.XLOOKUP($C$5,_xlpm.cummulative_leads,_xlpm.mydate,"Not Reached",1),_xlpm.target_reached_on)</f>
        <v>Not Reached</v>
      </c>
      <c r="E19" s="59" t="str" cm="1">
        <f t="array" ref="E19">IF($D19="Not Reached","Not Reached",_xlfn.LET(_xlpm.first_date,MIN(Leadtable[Date],Leadtable[Name]=$B19),_xlpm.days_taken,($D19-_xlpm.first_date)+1,
_xlpm.avg_per_day,ROUND($C$5/_xlpm.days_taken,2),_xlpm.avg_per_day))</f>
        <v>Not Reached</v>
      </c>
      <c r="F19" s="9" t="str">
        <f t="shared" si="0"/>
        <v>Behind Target</v>
      </c>
      <c r="J19" s="25" t="s">
        <v>98</v>
      </c>
      <c r="K19" s="32">
        <v>46023</v>
      </c>
      <c r="L19" s="25">
        <v>4</v>
      </c>
    </row>
    <row r="20" spans="2:12">
      <c r="B20" s="57" t="s">
        <v>53</v>
      </c>
      <c r="C20" s="57">
        <f>SUMIFS(Leadtable[Leads],Leadtable[Name],B20)</f>
        <v>520</v>
      </c>
      <c r="D20" s="60" cm="1">
        <f t="array" ref="D20">_xlfn.LET(_xlpm.me,B20,_xlpm.my_data,_xlfn._xlws.SORT(_xlfn._xlws.FILTER(Leadtable[],Leadtable[Name]=_xlpm.me),2),
_xlpm.mydate, _xlfn.CHOOSECOLS(_xlpm.my_data,2),_xlpm.myleads,_xlfn.CHOOSECOLS(_xlpm.my_data,3),_xlpm.cummulative_leads,_xlfn.SCAN(0,_xlpm.myleads,_xleta.SUM),
_xlpm.target_reached_on,_xlfn.XLOOKUP($C$5,_xlpm.cummulative_leads,_xlpm.mydate,"Not Reached",1),_xlpm.target_reached_on)</f>
        <v>46156</v>
      </c>
      <c r="E20" s="59" cm="1">
        <f t="array" ref="E20">IF($D20="Not Reached","Not Reached",_xlfn.LET(_xlpm.first_date,MIN(Leadtable[Date],Leadtable[Name]=$B20),_xlpm.days_taken,($D20-_xlpm.first_date)+1,
_xlpm.avg_per_day,ROUND($C$5/_xlpm.days_taken,2),_xlpm.avg_per_day))</f>
        <v>3.73</v>
      </c>
      <c r="F20" s="9" t="str">
        <f t="shared" si="0"/>
        <v>Target Achieved</v>
      </c>
      <c r="J20" s="39" t="s">
        <v>82</v>
      </c>
      <c r="K20" s="40">
        <v>46024</v>
      </c>
      <c r="L20" s="39">
        <v>16</v>
      </c>
    </row>
    <row r="21" spans="2:12">
      <c r="B21" s="57" t="s">
        <v>55</v>
      </c>
      <c r="C21" s="57">
        <f>SUMIFS(Leadtable[Leads],Leadtable[Name],B21)</f>
        <v>450</v>
      </c>
      <c r="D21" s="60" t="str" cm="1">
        <f t="array" ref="D21">_xlfn.LET(_xlpm.me,B21,_xlpm.my_data,_xlfn._xlws.SORT(_xlfn._xlws.FILTER(Leadtable[],Leadtable[Name]=_xlpm.me),2),
_xlpm.mydate, _xlfn.CHOOSECOLS(_xlpm.my_data,2),_xlpm.myleads,_xlfn.CHOOSECOLS(_xlpm.my_data,3),_xlpm.cummulative_leads,_xlfn.SCAN(0,_xlpm.myleads,_xleta.SUM),
_xlpm.target_reached_on,_xlfn.XLOOKUP($C$5,_xlpm.cummulative_leads,_xlpm.mydate,"Not Reached",1),_xlpm.target_reached_on)</f>
        <v>Not Reached</v>
      </c>
      <c r="E21" s="59" t="str" cm="1">
        <f t="array" ref="E21">IF($D21="Not Reached","Not Reached",_xlfn.LET(_xlpm.first_date,MIN(Leadtable[Date],Leadtable[Name]=$B21),_xlpm.days_taken,($D21-_xlpm.first_date)+1,
_xlpm.avg_per_day,ROUND($C$5/_xlpm.days_taken,2),_xlpm.avg_per_day))</f>
        <v>Not Reached</v>
      </c>
      <c r="F21" s="9" t="str">
        <f t="shared" si="0"/>
        <v>Behind Target</v>
      </c>
      <c r="J21" s="25" t="s">
        <v>63</v>
      </c>
      <c r="K21" s="32">
        <v>46024</v>
      </c>
      <c r="L21" s="25">
        <v>7</v>
      </c>
    </row>
    <row r="22" spans="2:12">
      <c r="B22" s="57" t="s">
        <v>58</v>
      </c>
      <c r="C22" s="57">
        <f>SUMIFS(Leadtable[Leads],Leadtable[Name],B22)</f>
        <v>535</v>
      </c>
      <c r="D22" s="60" cm="1">
        <f t="array" ref="D22">_xlfn.LET(_xlpm.me,B22,_xlpm.my_data,_xlfn._xlws.SORT(_xlfn._xlws.FILTER(Leadtable[],Leadtable[Name]=_xlpm.me),2),
_xlpm.mydate, _xlfn.CHOOSECOLS(_xlpm.my_data,2),_xlpm.myleads,_xlfn.CHOOSECOLS(_xlpm.my_data,3),_xlpm.cummulative_leads,_xlfn.SCAN(0,_xlpm.myleads,_xleta.SUM),
_xlpm.target_reached_on,_xlfn.XLOOKUP($C$5,_xlpm.cummulative_leads,_xlpm.mydate,"Not Reached",1),_xlpm.target_reached_on)</f>
        <v>46149</v>
      </c>
      <c r="E22" s="59" cm="1">
        <f t="array" ref="E22">IF($D22="Not Reached","Not Reached",_xlfn.LET(_xlpm.first_date,MIN(Leadtable[Date],Leadtable[Name]=$B22),_xlpm.days_taken,($D22-_xlpm.first_date)+1,
_xlpm.avg_per_day,ROUND($C$5/_xlpm.days_taken,2),_xlpm.avg_per_day))</f>
        <v>3.94</v>
      </c>
      <c r="F22" s="9" t="str">
        <f t="shared" si="0"/>
        <v>Target Achieved</v>
      </c>
      <c r="J22" s="39" t="s">
        <v>74</v>
      </c>
      <c r="K22" s="40">
        <v>46024</v>
      </c>
      <c r="L22" s="39">
        <v>2</v>
      </c>
    </row>
    <row r="23" spans="2:12">
      <c r="B23" s="57" t="s">
        <v>61</v>
      </c>
      <c r="C23" s="57">
        <f>SUMIFS(Leadtable[Leads],Leadtable[Name],B23)</f>
        <v>525</v>
      </c>
      <c r="D23" s="60" cm="1">
        <f t="array" ref="D23">_xlfn.LET(_xlpm.me,B23,_xlpm.my_data,_xlfn._xlws.SORT(_xlfn._xlws.FILTER(Leadtable[],Leadtable[Name]=_xlpm.me),2),
_xlpm.mydate, _xlfn.CHOOSECOLS(_xlpm.my_data,2),_xlpm.myleads,_xlfn.CHOOSECOLS(_xlpm.my_data,3),_xlpm.cummulative_leads,_xlfn.SCAN(0,_xlpm.myleads,_xleta.SUM),
_xlpm.target_reached_on,_xlfn.XLOOKUP($C$5,_xlpm.cummulative_leads,_xlpm.mydate,"Not Reached",1),_xlpm.target_reached_on)</f>
        <v>46161</v>
      </c>
      <c r="E23" s="59" cm="1">
        <f t="array" ref="E23">IF($D23="Not Reached","Not Reached",_xlfn.LET(_xlpm.first_date,MIN(Leadtable[Date],Leadtable[Name]=$B23),_xlpm.days_taken,($D23-_xlpm.first_date)+1,
_xlpm.avg_per_day,ROUND($C$5/_xlpm.days_taken,2),_xlpm.avg_per_day))</f>
        <v>3.6</v>
      </c>
      <c r="F23" s="9" t="str">
        <f t="shared" si="0"/>
        <v>Target Achieved</v>
      </c>
      <c r="J23" s="25" t="s">
        <v>84</v>
      </c>
      <c r="K23" s="32">
        <v>46024</v>
      </c>
      <c r="L23" s="25">
        <v>7</v>
      </c>
    </row>
    <row r="24" spans="2:12">
      <c r="B24" s="57" t="s">
        <v>63</v>
      </c>
      <c r="C24" s="57">
        <f>SUMIFS(Leadtable[Leads],Leadtable[Name],B24)</f>
        <v>458</v>
      </c>
      <c r="D24" s="60" t="str" cm="1">
        <f t="array" ref="D24">_xlfn.LET(_xlpm.me,B24,_xlpm.my_data,_xlfn._xlws.SORT(_xlfn._xlws.FILTER(Leadtable[],Leadtable[Name]=_xlpm.me),2),
_xlpm.mydate, _xlfn.CHOOSECOLS(_xlpm.my_data,2),_xlpm.myleads,_xlfn.CHOOSECOLS(_xlpm.my_data,3),_xlpm.cummulative_leads,_xlfn.SCAN(0,_xlpm.myleads,_xleta.SUM),
_xlpm.target_reached_on,_xlfn.XLOOKUP($C$5,_xlpm.cummulative_leads,_xlpm.mydate,"Not Reached",1),_xlpm.target_reached_on)</f>
        <v>Not Reached</v>
      </c>
      <c r="E24" s="59" t="str" cm="1">
        <f t="array" ref="E24">IF($D24="Not Reached","Not Reached",_xlfn.LET(_xlpm.first_date,MIN(Leadtable[Date],Leadtable[Name]=$B24),_xlpm.days_taken,($D24-_xlpm.first_date)+1,
_xlpm.avg_per_day,ROUND($C$5/_xlpm.days_taken,2),_xlpm.avg_per_day))</f>
        <v>Not Reached</v>
      </c>
      <c r="F24" s="9" t="str">
        <f t="shared" si="0"/>
        <v>Behind Target</v>
      </c>
      <c r="J24" s="39" t="s">
        <v>31</v>
      </c>
      <c r="K24" s="40">
        <v>46024</v>
      </c>
      <c r="L24" s="39">
        <v>11</v>
      </c>
    </row>
    <row r="25" spans="2:12">
      <c r="B25" s="57" t="s">
        <v>65</v>
      </c>
      <c r="C25" s="57">
        <f>SUMIFS(Leadtable[Leads],Leadtable[Name],B25)</f>
        <v>544</v>
      </c>
      <c r="D25" s="60" cm="1">
        <f t="array" ref="D25">_xlfn.LET(_xlpm.me,B25,_xlpm.my_data,_xlfn._xlws.SORT(_xlfn._xlws.FILTER(Leadtable[],Leadtable[Name]=_xlpm.me),2),
_xlpm.mydate, _xlfn.CHOOSECOLS(_xlpm.my_data,2),_xlpm.myleads,_xlfn.CHOOSECOLS(_xlpm.my_data,3),_xlpm.cummulative_leads,_xlfn.SCAN(0,_xlpm.myleads,_xleta.SUM),
_xlpm.target_reached_on,_xlfn.XLOOKUP($C$5,_xlpm.cummulative_leads,_xlpm.mydate,"Not Reached",1),_xlpm.target_reached_on)</f>
        <v>46154</v>
      </c>
      <c r="E25" s="59" cm="1">
        <f t="array" ref="E25">IF($D25="Not Reached","Not Reached",_xlfn.LET(_xlpm.first_date,MIN(Leadtable[Date],Leadtable[Name]=$B25),_xlpm.days_taken,($D25-_xlpm.first_date)+1,
_xlpm.avg_per_day,ROUND($C$5/_xlpm.days_taken,2),_xlpm.avg_per_day))</f>
        <v>3.79</v>
      </c>
      <c r="F25" s="9" t="str">
        <f t="shared" si="0"/>
        <v>Target Achieved</v>
      </c>
      <c r="J25" s="25" t="s">
        <v>28</v>
      </c>
      <c r="K25" s="32">
        <v>46024</v>
      </c>
      <c r="L25" s="25">
        <v>14</v>
      </c>
    </row>
    <row r="26" spans="2:12">
      <c r="B26" s="57" t="s">
        <v>67</v>
      </c>
      <c r="C26" s="57">
        <f>SUMIFS(Leadtable[Leads],Leadtable[Name],B26)</f>
        <v>548</v>
      </c>
      <c r="D26" s="60" cm="1">
        <f t="array" ref="D26">_xlfn.LET(_xlpm.me,B26,_xlpm.my_data,_xlfn._xlws.SORT(_xlfn._xlws.FILTER(Leadtable[],Leadtable[Name]=_xlpm.me),2),
_xlpm.mydate, _xlfn.CHOOSECOLS(_xlpm.my_data,2),_xlpm.myleads,_xlfn.CHOOSECOLS(_xlpm.my_data,3),_xlpm.cummulative_leads,_xlfn.SCAN(0,_xlpm.myleads,_xleta.SUM),
_xlpm.target_reached_on,_xlfn.XLOOKUP($C$5,_xlpm.cummulative_leads,_xlpm.mydate,"Not Reached",1),_xlpm.target_reached_on)</f>
        <v>46153</v>
      </c>
      <c r="E26" s="59" cm="1">
        <f t="array" ref="E26">IF($D26="Not Reached","Not Reached",_xlfn.LET(_xlpm.first_date,MIN(Leadtable[Date],Leadtable[Name]=$B26),_xlpm.days_taken,($D26-_xlpm.first_date)+1,
_xlpm.avg_per_day,ROUND($C$5/_xlpm.days_taken,2),_xlpm.avg_per_day))</f>
        <v>3.82</v>
      </c>
      <c r="F26" s="9" t="str">
        <f t="shared" si="0"/>
        <v>Target Achieved</v>
      </c>
      <c r="J26" s="39" t="s">
        <v>58</v>
      </c>
      <c r="K26" s="40">
        <v>46024</v>
      </c>
      <c r="L26" s="39">
        <v>4</v>
      </c>
    </row>
    <row r="27" spans="2:12">
      <c r="B27" s="57" t="s">
        <v>70</v>
      </c>
      <c r="C27" s="57">
        <f>SUMIFS(Leadtable[Leads],Leadtable[Name],B27)</f>
        <v>544</v>
      </c>
      <c r="D27" s="60" cm="1">
        <f t="array" ref="D27">_xlfn.LET(_xlpm.me,B27,_xlpm.my_data,_xlfn._xlws.SORT(_xlfn._xlws.FILTER(Leadtable[],Leadtable[Name]=_xlpm.me),2),
_xlpm.mydate, _xlfn.CHOOSECOLS(_xlpm.my_data,2),_xlpm.myleads,_xlfn.CHOOSECOLS(_xlpm.my_data,3),_xlpm.cummulative_leads,_xlfn.SCAN(0,_xlpm.myleads,_xleta.SUM),
_xlpm.target_reached_on,_xlfn.XLOOKUP($C$5,_xlpm.cummulative_leads,_xlpm.mydate,"Not Reached",1),_xlpm.target_reached_on)</f>
        <v>46146</v>
      </c>
      <c r="E27" s="59" cm="1">
        <f t="array" ref="E27">IF($D27="Not Reached","Not Reached",_xlfn.LET(_xlpm.first_date,MIN(Leadtable[Date],Leadtable[Name]=$B27),_xlpm.days_taken,($D27-_xlpm.first_date)+1,
_xlpm.avg_per_day,ROUND($C$5/_xlpm.days_taken,2),_xlpm.avg_per_day))</f>
        <v>4.03</v>
      </c>
      <c r="F27" s="9" t="str">
        <f t="shared" si="0"/>
        <v>Target Achieved</v>
      </c>
      <c r="J27" s="25" t="s">
        <v>63</v>
      </c>
      <c r="K27" s="32">
        <v>46024</v>
      </c>
      <c r="L27" s="25">
        <v>5</v>
      </c>
    </row>
    <row r="28" spans="2:12">
      <c r="B28" s="57" t="s">
        <v>72</v>
      </c>
      <c r="C28" s="57">
        <f>SUMIFS(Leadtable[Leads],Leadtable[Name],B28)</f>
        <v>727</v>
      </c>
      <c r="D28" s="60" cm="1">
        <f t="array" ref="D28">_xlfn.LET(_xlpm.me,B28,_xlpm.my_data,_xlfn._xlws.SORT(_xlfn._xlws.FILTER(Leadtable[],Leadtable[Name]=_xlpm.me),2),
_xlpm.mydate, _xlfn.CHOOSECOLS(_xlpm.my_data,2),_xlpm.myleads,_xlfn.CHOOSECOLS(_xlpm.my_data,3),_xlpm.cummulative_leads,_xlfn.SCAN(0,_xlpm.myleads,_xleta.SUM),
_xlpm.target_reached_on,_xlfn.XLOOKUP($C$5,_xlpm.cummulative_leads,_xlpm.mydate,"Not Reached",1),_xlpm.target_reached_on)</f>
        <v>46124</v>
      </c>
      <c r="E28" s="59" cm="1">
        <f t="array" ref="E28">IF($D28="Not Reached","Not Reached",_xlfn.LET(_xlpm.first_date,MIN(Leadtable[Date],Leadtable[Name]=$B28),_xlpm.days_taken,($D28-_xlpm.first_date)+1,
_xlpm.avg_per_day,ROUND($C$5/_xlpm.days_taken,2),_xlpm.avg_per_day))</f>
        <v>4.9000000000000004</v>
      </c>
      <c r="F28" s="9" t="str">
        <f t="shared" si="0"/>
        <v>Target Achieved</v>
      </c>
      <c r="J28" s="39" t="s">
        <v>40</v>
      </c>
      <c r="K28" s="40">
        <v>46024</v>
      </c>
      <c r="L28" s="39">
        <v>20</v>
      </c>
    </row>
    <row r="29" spans="2:12">
      <c r="B29" s="57" t="s">
        <v>74</v>
      </c>
      <c r="C29" s="57">
        <f>SUMIFS(Leadtable[Leads],Leadtable[Name],B29)</f>
        <v>542</v>
      </c>
      <c r="D29" s="60" cm="1">
        <f t="array" ref="D29">_xlfn.LET(_xlpm.me,B29,_xlpm.my_data,_xlfn._xlws.SORT(_xlfn._xlws.FILTER(Leadtable[],Leadtable[Name]=_xlpm.me),2),
_xlpm.mydate, _xlfn.CHOOSECOLS(_xlpm.my_data,2),_xlpm.myleads,_xlfn.CHOOSECOLS(_xlpm.my_data,3),_xlpm.cummulative_leads,_xlfn.SCAN(0,_xlpm.myleads,_xleta.SUM),
_xlpm.target_reached_on,_xlfn.XLOOKUP($C$5,_xlpm.cummulative_leads,_xlpm.mydate,"Not Reached",1),_xlpm.target_reached_on)</f>
        <v>46157</v>
      </c>
      <c r="E29" s="59" cm="1">
        <f t="array" ref="E29">IF($D29="Not Reached","Not Reached",_xlfn.LET(_xlpm.first_date,MIN(Leadtable[Date],Leadtable[Name]=$B29),_xlpm.days_taken,($D29-_xlpm.first_date)+1,
_xlpm.avg_per_day,ROUND($C$5/_xlpm.days_taken,2),_xlpm.avg_per_day))</f>
        <v>3.7</v>
      </c>
      <c r="F29" s="9" t="str">
        <f t="shared" si="0"/>
        <v>Target Achieved</v>
      </c>
      <c r="J29" s="25" t="s">
        <v>43</v>
      </c>
      <c r="K29" s="32">
        <v>46024</v>
      </c>
      <c r="L29" s="25">
        <v>2</v>
      </c>
    </row>
    <row r="30" spans="2:12">
      <c r="B30" s="57" t="s">
        <v>76</v>
      </c>
      <c r="C30" s="57">
        <f>SUMIFS(Leadtable[Leads],Leadtable[Name],B30)</f>
        <v>503</v>
      </c>
      <c r="D30" s="60" cm="1">
        <f t="array" ref="D30">_xlfn.LET(_xlpm.me,B30,_xlpm.my_data,_xlfn._xlws.SORT(_xlfn._xlws.FILTER(Leadtable[],Leadtable[Name]=_xlpm.me),2),
_xlpm.mydate, _xlfn.CHOOSECOLS(_xlpm.my_data,2),_xlpm.myleads,_xlfn.CHOOSECOLS(_xlpm.my_data,3),_xlpm.cummulative_leads,_xlfn.SCAN(0,_xlpm.myleads,_xleta.SUM),
_xlpm.target_reached_on,_xlfn.XLOOKUP($C$5,_xlpm.cummulative_leads,_xlpm.mydate,"Not Reached",1),_xlpm.target_reached_on)</f>
        <v>46163</v>
      </c>
      <c r="E30" s="59" cm="1">
        <f t="array" ref="E30">IF($D30="Not Reached","Not Reached",_xlfn.LET(_xlpm.first_date,MIN(Leadtable[Date],Leadtable[Name]=$B30),_xlpm.days_taken,($D30-_xlpm.first_date)+1,
_xlpm.avg_per_day,ROUND($C$5/_xlpm.days_taken,2),_xlpm.avg_per_day))</f>
        <v>3.55</v>
      </c>
      <c r="F30" s="9" t="str">
        <f t="shared" si="0"/>
        <v>Target Achieved</v>
      </c>
      <c r="J30" s="39" t="s">
        <v>63</v>
      </c>
      <c r="K30" s="40">
        <v>46025</v>
      </c>
      <c r="L30" s="39">
        <v>13</v>
      </c>
    </row>
    <row r="31" spans="2:12">
      <c r="B31" s="57" t="s">
        <v>78</v>
      </c>
      <c r="C31" s="57">
        <f>SUMIFS(Leadtable[Leads],Leadtable[Name],B31)</f>
        <v>521</v>
      </c>
      <c r="D31" s="60" cm="1">
        <f t="array" ref="D31">_xlfn.LET(_xlpm.me,B31,_xlpm.my_data,_xlfn._xlws.SORT(_xlfn._xlws.FILTER(Leadtable[],Leadtable[Name]=_xlpm.me),2),
_xlpm.mydate, _xlfn.CHOOSECOLS(_xlpm.my_data,2),_xlpm.myleads,_xlfn.CHOOSECOLS(_xlpm.my_data,3),_xlpm.cummulative_leads,_xlfn.SCAN(0,_xlpm.myleads,_xleta.SUM),
_xlpm.target_reached_on,_xlfn.XLOOKUP($C$5,_xlpm.cummulative_leads,_xlpm.mydate,"Not Reached",1),_xlpm.target_reached_on)</f>
        <v>46156</v>
      </c>
      <c r="E31" s="59" cm="1">
        <f t="array" ref="E31">IF($D31="Not Reached","Not Reached",_xlfn.LET(_xlpm.first_date,MIN(Leadtable[Date],Leadtable[Name]=$B31),_xlpm.days_taken,($D31-_xlpm.first_date)+1,
_xlpm.avg_per_day,ROUND($C$5/_xlpm.days_taken,2),_xlpm.avg_per_day))</f>
        <v>3.73</v>
      </c>
      <c r="F31" s="9" t="str">
        <f t="shared" si="0"/>
        <v>Target Achieved</v>
      </c>
      <c r="J31" s="25" t="s">
        <v>78</v>
      </c>
      <c r="K31" s="32">
        <v>46025</v>
      </c>
      <c r="L31" s="25">
        <v>3</v>
      </c>
    </row>
    <row r="32" spans="2:12">
      <c r="B32" s="57" t="s">
        <v>80</v>
      </c>
      <c r="C32" s="57">
        <f>SUMIFS(Leadtable[Leads],Leadtable[Name],B32)</f>
        <v>603</v>
      </c>
      <c r="D32" s="60" cm="1">
        <f t="array" ref="D32">_xlfn.LET(_xlpm.me,B32,_xlpm.my_data,_xlfn._xlws.SORT(_xlfn._xlws.FILTER(Leadtable[],Leadtable[Name]=_xlpm.me),2),
_xlpm.mydate, _xlfn.CHOOSECOLS(_xlpm.my_data,2),_xlpm.myleads,_xlfn.CHOOSECOLS(_xlpm.my_data,3),_xlpm.cummulative_leads,_xlfn.SCAN(0,_xlpm.myleads,_xleta.SUM),
_xlpm.target_reached_on,_xlfn.XLOOKUP($C$5,_xlpm.cummulative_leads,_xlpm.mydate,"Not Reached",1),_xlpm.target_reached_on)</f>
        <v>46133</v>
      </c>
      <c r="E32" s="59" cm="1">
        <f t="array" ref="E32">IF($D32="Not Reached","Not Reached",_xlfn.LET(_xlpm.first_date,MIN(Leadtable[Date],Leadtable[Name]=$B32),_xlpm.days_taken,($D32-_xlpm.first_date)+1,
_xlpm.avg_per_day,ROUND($C$5/_xlpm.days_taken,2),_xlpm.avg_per_day))</f>
        <v>4.5</v>
      </c>
      <c r="F32" s="9" t="str">
        <f t="shared" si="0"/>
        <v>Target Achieved</v>
      </c>
      <c r="J32" s="39" t="s">
        <v>40</v>
      </c>
      <c r="K32" s="40">
        <v>46025</v>
      </c>
      <c r="L32" s="39">
        <v>4</v>
      </c>
    </row>
    <row r="33" spans="2:12">
      <c r="B33" s="57" t="s">
        <v>82</v>
      </c>
      <c r="C33" s="57">
        <f>SUMIFS(Leadtable[Leads],Leadtable[Name],B33)</f>
        <v>632</v>
      </c>
      <c r="D33" s="60" cm="1">
        <f t="array" ref="D33">_xlfn.LET(_xlpm.me,B33,_xlpm.my_data,_xlfn._xlws.SORT(_xlfn._xlws.FILTER(Leadtable[],Leadtable[Name]=_xlpm.me),2),
_xlpm.mydate, _xlfn.CHOOSECOLS(_xlpm.my_data,2),_xlpm.myleads,_xlfn.CHOOSECOLS(_xlpm.my_data,3),_xlpm.cummulative_leads,_xlfn.SCAN(0,_xlpm.myleads,_xleta.SUM),
_xlpm.target_reached_on,_xlfn.XLOOKUP($C$5,_xlpm.cummulative_leads,_xlpm.mydate,"Not Reached",1),_xlpm.target_reached_on)</f>
        <v>46119</v>
      </c>
      <c r="E33" s="59" cm="1">
        <f t="array" ref="E33">IF($D33="Not Reached","Not Reached",_xlfn.LET(_xlpm.first_date,MIN(Leadtable[Date],Leadtable[Name]=$B33),_xlpm.days_taken,($D33-_xlpm.first_date)+1,
_xlpm.avg_per_day,ROUND($C$5/_xlpm.days_taken,2),_xlpm.avg_per_day))</f>
        <v>5.15</v>
      </c>
      <c r="F33" s="9" t="str">
        <f t="shared" si="0"/>
        <v>Target Achieved</v>
      </c>
      <c r="J33" s="25" t="s">
        <v>82</v>
      </c>
      <c r="K33" s="32">
        <v>46025</v>
      </c>
      <c r="L33" s="25">
        <v>9</v>
      </c>
    </row>
    <row r="34" spans="2:12">
      <c r="B34" s="57" t="s">
        <v>84</v>
      </c>
      <c r="C34" s="57">
        <f>SUMIFS(Leadtable[Leads],Leadtable[Name],B34)</f>
        <v>794</v>
      </c>
      <c r="D34" s="60" cm="1">
        <f t="array" ref="D34">_xlfn.LET(_xlpm.me,B34,_xlpm.my_data,_xlfn._xlws.SORT(_xlfn._xlws.FILTER(Leadtable[],Leadtable[Name]=_xlpm.me),2),
_xlpm.mydate, _xlfn.CHOOSECOLS(_xlpm.my_data,2),_xlpm.myleads,_xlfn.CHOOSECOLS(_xlpm.my_data,3),_xlpm.cummulative_leads,_xlfn.SCAN(0,_xlpm.myleads,_xleta.SUM),
_xlpm.target_reached_on,_xlfn.XLOOKUP($C$5,_xlpm.cummulative_leads,_xlpm.mydate,"Not Reached",1),_xlpm.target_reached_on)</f>
        <v>46113</v>
      </c>
      <c r="E34" s="59" cm="1">
        <f t="array" ref="E34">IF($D34="Not Reached","Not Reached",_xlfn.LET(_xlpm.first_date,MIN(Leadtable[Date],Leadtable[Name]=$B34),_xlpm.days_taken,($D34-_xlpm.first_date)+1,
_xlpm.avg_per_day,ROUND($C$5/_xlpm.days_taken,2),_xlpm.avg_per_day))</f>
        <v>5.49</v>
      </c>
      <c r="F34" s="9" t="str">
        <f t="shared" si="0"/>
        <v>Target Achieved</v>
      </c>
      <c r="J34" s="39" t="s">
        <v>46</v>
      </c>
      <c r="K34" s="40">
        <v>46025</v>
      </c>
      <c r="L34" s="39">
        <v>3</v>
      </c>
    </row>
    <row r="35" spans="2:12">
      <c r="B35" s="57" t="s">
        <v>86</v>
      </c>
      <c r="C35" s="57">
        <f>SUMIFS(Leadtable[Leads],Leadtable[Name],B35)</f>
        <v>473</v>
      </c>
      <c r="D35" s="60" t="str" cm="1">
        <f t="array" ref="D35">_xlfn.LET(_xlpm.me,B35,_xlpm.my_data,_xlfn._xlws.SORT(_xlfn._xlws.FILTER(Leadtable[],Leadtable[Name]=_xlpm.me),2),
_xlpm.mydate, _xlfn.CHOOSECOLS(_xlpm.my_data,2),_xlpm.myleads,_xlfn.CHOOSECOLS(_xlpm.my_data,3),_xlpm.cummulative_leads,_xlfn.SCAN(0,_xlpm.myleads,_xleta.SUM),
_xlpm.target_reached_on,_xlfn.XLOOKUP($C$5,_xlpm.cummulative_leads,_xlpm.mydate,"Not Reached",1),_xlpm.target_reached_on)</f>
        <v>Not Reached</v>
      </c>
      <c r="E35" s="59" t="str" cm="1">
        <f t="array" ref="E35">IF($D35="Not Reached","Not Reached",_xlfn.LET(_xlpm.first_date,MIN(Leadtable[Date],Leadtable[Name]=$B35),_xlpm.days_taken,($D35-_xlpm.first_date)+1,
_xlpm.avg_per_day,ROUND($C$5/_xlpm.days_taken,2),_xlpm.avg_per_day))</f>
        <v>Not Reached</v>
      </c>
      <c r="F35" s="9" t="str">
        <f t="shared" si="0"/>
        <v>Behind Target</v>
      </c>
      <c r="J35" s="25" t="s">
        <v>100</v>
      </c>
      <c r="K35" s="32">
        <v>46025</v>
      </c>
      <c r="L35" s="25">
        <v>13</v>
      </c>
    </row>
    <row r="36" spans="2:12">
      <c r="B36" s="57" t="s">
        <v>88</v>
      </c>
      <c r="C36" s="57">
        <f>SUMIFS(Leadtable[Leads],Leadtable[Name],B36)</f>
        <v>469</v>
      </c>
      <c r="D36" s="60" t="str" cm="1">
        <f t="array" ref="D36">_xlfn.LET(_xlpm.me,B36,_xlpm.my_data,_xlfn._xlws.SORT(_xlfn._xlws.FILTER(Leadtable[],Leadtable[Name]=_xlpm.me),2),
_xlpm.mydate, _xlfn.CHOOSECOLS(_xlpm.my_data,2),_xlpm.myleads,_xlfn.CHOOSECOLS(_xlpm.my_data,3),_xlpm.cummulative_leads,_xlfn.SCAN(0,_xlpm.myleads,_xleta.SUM),
_xlpm.target_reached_on,_xlfn.XLOOKUP($C$5,_xlpm.cummulative_leads,_xlpm.mydate,"Not Reached",1),_xlpm.target_reached_on)</f>
        <v>Not Reached</v>
      </c>
      <c r="E36" s="59" t="str" cm="1">
        <f t="array" ref="E36">IF($D36="Not Reached","Not Reached",_xlfn.LET(_xlpm.first_date,MIN(Leadtable[Date],Leadtable[Name]=$B36),_xlpm.days_taken,($D36-_xlpm.first_date)+1,
_xlpm.avg_per_day,ROUND($C$5/_xlpm.days_taken,2),_xlpm.avg_per_day))</f>
        <v>Not Reached</v>
      </c>
      <c r="F36" s="9" t="str">
        <f t="shared" si="0"/>
        <v>Behind Target</v>
      </c>
      <c r="J36" s="39" t="s">
        <v>65</v>
      </c>
      <c r="K36" s="40">
        <v>46025</v>
      </c>
      <c r="L36" s="39">
        <v>8</v>
      </c>
    </row>
    <row r="37" spans="2:12">
      <c r="B37" s="57" t="s">
        <v>90</v>
      </c>
      <c r="C37" s="57">
        <f>SUMIFS(Leadtable[Leads],Leadtable[Name],B37)</f>
        <v>457</v>
      </c>
      <c r="D37" s="60" t="str" cm="1">
        <f t="array" ref="D37">_xlfn.LET(_xlpm.me,B37,_xlpm.my_data,_xlfn._xlws.SORT(_xlfn._xlws.FILTER(Leadtable[],Leadtable[Name]=_xlpm.me),2),
_xlpm.mydate, _xlfn.CHOOSECOLS(_xlpm.my_data,2),_xlpm.myleads,_xlfn.CHOOSECOLS(_xlpm.my_data,3),_xlpm.cummulative_leads,_xlfn.SCAN(0,_xlpm.myleads,_xleta.SUM),
_xlpm.target_reached_on,_xlfn.XLOOKUP($C$5,_xlpm.cummulative_leads,_xlpm.mydate,"Not Reached",1),_xlpm.target_reached_on)</f>
        <v>Not Reached</v>
      </c>
      <c r="E37" s="59" t="str" cm="1">
        <f t="array" ref="E37">IF($D37="Not Reached","Not Reached",_xlfn.LET(_xlpm.first_date,MIN(Leadtable[Date],Leadtable[Name]=$B37),_xlpm.days_taken,($D37-_xlpm.first_date)+1,
_xlpm.avg_per_day,ROUND($C$5/_xlpm.days_taken,2),_xlpm.avg_per_day))</f>
        <v>Not Reached</v>
      </c>
      <c r="F37" s="9" t="str">
        <f t="shared" si="0"/>
        <v>Behind Target</v>
      </c>
      <c r="J37" s="25" t="s">
        <v>88</v>
      </c>
      <c r="K37" s="32">
        <v>46025</v>
      </c>
      <c r="L37" s="25">
        <v>9</v>
      </c>
    </row>
    <row r="38" spans="2:12">
      <c r="B38" s="57" t="s">
        <v>92</v>
      </c>
      <c r="C38" s="57">
        <f>SUMIFS(Leadtable[Leads],Leadtable[Name],B38)</f>
        <v>621</v>
      </c>
      <c r="D38" s="60" cm="1">
        <f t="array" ref="D38">_xlfn.LET(_xlpm.me,B38,_xlpm.my_data,_xlfn._xlws.SORT(_xlfn._xlws.FILTER(Leadtable[],Leadtable[Name]=_xlpm.me),2),
_xlpm.mydate, _xlfn.CHOOSECOLS(_xlpm.my_data,2),_xlpm.myleads,_xlfn.CHOOSECOLS(_xlpm.my_data,3),_xlpm.cummulative_leads,_xlfn.SCAN(0,_xlpm.myleads,_xleta.SUM),
_xlpm.target_reached_on,_xlfn.XLOOKUP($C$5,_xlpm.cummulative_leads,_xlpm.mydate,"Not Reached",1),_xlpm.target_reached_on)</f>
        <v>46131</v>
      </c>
      <c r="E38" s="59" cm="1">
        <f t="array" ref="E38">IF($D38="Not Reached","Not Reached",_xlfn.LET(_xlpm.first_date,MIN(Leadtable[Date],Leadtable[Name]=$B38),_xlpm.days_taken,($D38-_xlpm.first_date)+1,
_xlpm.avg_per_day,ROUND($C$5/_xlpm.days_taken,2),_xlpm.avg_per_day))</f>
        <v>4.59</v>
      </c>
      <c r="F38" s="9" t="str">
        <f t="shared" si="0"/>
        <v>Target Achieved</v>
      </c>
      <c r="J38" s="39" t="s">
        <v>86</v>
      </c>
      <c r="K38" s="40">
        <v>46025</v>
      </c>
      <c r="L38" s="39">
        <v>5</v>
      </c>
    </row>
    <row r="39" spans="2:12">
      <c r="B39" s="57" t="s">
        <v>94</v>
      </c>
      <c r="C39" s="57">
        <f>SUMIFS(Leadtable[Leads],Leadtable[Name],B39)</f>
        <v>472</v>
      </c>
      <c r="D39" s="60" t="str" cm="1">
        <f t="array" ref="D39">_xlfn.LET(_xlpm.me,B39,_xlpm.my_data,_xlfn._xlws.SORT(_xlfn._xlws.FILTER(Leadtable[],Leadtable[Name]=_xlpm.me),2),
_xlpm.mydate, _xlfn.CHOOSECOLS(_xlpm.my_data,2),_xlpm.myleads,_xlfn.CHOOSECOLS(_xlpm.my_data,3),_xlpm.cummulative_leads,_xlfn.SCAN(0,_xlpm.myleads,_xleta.SUM),
_xlpm.target_reached_on,_xlfn.XLOOKUP($C$5,_xlpm.cummulative_leads,_xlpm.mydate,"Not Reached",1),_xlpm.target_reached_on)</f>
        <v>Not Reached</v>
      </c>
      <c r="E39" s="59" t="str" cm="1">
        <f t="array" ref="E39">IF($D39="Not Reached","Not Reached",_xlfn.LET(_xlpm.first_date,MIN(Leadtable[Date],Leadtable[Name]=$B39),_xlpm.days_taken,($D39-_xlpm.first_date)+1,
_xlpm.avg_per_day,ROUND($C$5/_xlpm.days_taken,2),_xlpm.avg_per_day))</f>
        <v>Not Reached</v>
      </c>
      <c r="F39" s="9" t="str">
        <f t="shared" si="0"/>
        <v>Behind Target</v>
      </c>
      <c r="J39" s="25" t="s">
        <v>67</v>
      </c>
      <c r="K39" s="32">
        <v>46025</v>
      </c>
      <c r="L39" s="25">
        <v>8</v>
      </c>
    </row>
    <row r="40" spans="2:12">
      <c r="B40" s="57" t="s">
        <v>96</v>
      </c>
      <c r="C40" s="57">
        <f>SUMIFS(Leadtable[Leads],Leadtable[Name],B40)</f>
        <v>623</v>
      </c>
      <c r="D40" s="60" cm="1">
        <f t="array" ref="D40">_xlfn.LET(_xlpm.me,B40,_xlpm.my_data,_xlfn._xlws.SORT(_xlfn._xlws.FILTER(Leadtable[],Leadtable[Name]=_xlpm.me),2),
_xlpm.mydate, _xlfn.CHOOSECOLS(_xlpm.my_data,2),_xlpm.myleads,_xlfn.CHOOSECOLS(_xlpm.my_data,3),_xlpm.cummulative_leads,_xlfn.SCAN(0,_xlpm.myleads,_xleta.SUM),
_xlpm.target_reached_on,_xlfn.XLOOKUP($C$5,_xlpm.cummulative_leads,_xlpm.mydate,"Not Reached",1),_xlpm.target_reached_on)</f>
        <v>46136</v>
      </c>
      <c r="E40" s="59" cm="1">
        <f t="array" ref="E40">IF($D40="Not Reached","Not Reached",_xlfn.LET(_xlpm.first_date,MIN(Leadtable[Date],Leadtable[Name]=$B40),_xlpm.days_taken,($D40-_xlpm.first_date)+1,
_xlpm.avg_per_day,ROUND($C$5/_xlpm.days_taken,2),_xlpm.avg_per_day))</f>
        <v>4.3899999999999997</v>
      </c>
      <c r="F40" s="9" t="str">
        <f t="shared" si="0"/>
        <v>Target Achieved</v>
      </c>
      <c r="J40" s="39" t="s">
        <v>90</v>
      </c>
      <c r="K40" s="40">
        <v>46025</v>
      </c>
      <c r="L40" s="39">
        <v>13</v>
      </c>
    </row>
    <row r="41" spans="2:12">
      <c r="B41" s="57" t="s">
        <v>98</v>
      </c>
      <c r="C41" s="57">
        <f>SUMIFS(Leadtable[Leads],Leadtable[Name],B41)</f>
        <v>606</v>
      </c>
      <c r="D41" s="60" cm="1">
        <f t="array" ref="D41">_xlfn.LET(_xlpm.me,B41,_xlpm.my_data,_xlfn._xlws.SORT(_xlfn._xlws.FILTER(Leadtable[],Leadtable[Name]=_xlpm.me),2),
_xlpm.mydate, _xlfn.CHOOSECOLS(_xlpm.my_data,2),_xlpm.myleads,_xlfn.CHOOSECOLS(_xlpm.my_data,3),_xlpm.cummulative_leads,_xlfn.SCAN(0,_xlpm.myleads,_xleta.SUM),
_xlpm.target_reached_on,_xlfn.XLOOKUP($C$5,_xlpm.cummulative_leads,_xlpm.mydate,"Not Reached",1),_xlpm.target_reached_on)</f>
        <v>46141</v>
      </c>
      <c r="E41" s="59" cm="1">
        <f t="array" ref="E41">IF($D41="Not Reached","Not Reached",_xlfn.LET(_xlpm.first_date,MIN(Leadtable[Date],Leadtable[Name]=$B41),_xlpm.days_taken,($D41-_xlpm.first_date)+1,
_xlpm.avg_per_day,ROUND($C$5/_xlpm.days_taken,2),_xlpm.avg_per_day))</f>
        <v>4.2</v>
      </c>
      <c r="F41" s="9" t="str">
        <f t="shared" si="0"/>
        <v>Target Achieved</v>
      </c>
      <c r="J41" s="25" t="s">
        <v>96</v>
      </c>
      <c r="K41" s="32">
        <v>46025</v>
      </c>
      <c r="L41" s="25">
        <v>2</v>
      </c>
    </row>
    <row r="42" spans="2:12">
      <c r="B42" s="57" t="s">
        <v>100</v>
      </c>
      <c r="C42" s="57">
        <f>SUMIFS(Leadtable[Leads],Leadtable[Name],B42)</f>
        <v>419</v>
      </c>
      <c r="D42" s="60" t="str" cm="1">
        <f t="array" ref="D42">_xlfn.LET(_xlpm.me,B42,_xlpm.my_data,_xlfn._xlws.SORT(_xlfn._xlws.FILTER(Leadtable[],Leadtable[Name]=_xlpm.me),2),
_xlpm.mydate, _xlfn.CHOOSECOLS(_xlpm.my_data,2),_xlpm.myleads,_xlfn.CHOOSECOLS(_xlpm.my_data,3),_xlpm.cummulative_leads,_xlfn.SCAN(0,_xlpm.myleads,_xleta.SUM),
_xlpm.target_reached_on,_xlfn.XLOOKUP($C$5,_xlpm.cummulative_leads,_xlpm.mydate,"Not Reached",1),_xlpm.target_reached_on)</f>
        <v>Not Reached</v>
      </c>
      <c r="E42" s="59" t="str" cm="1">
        <f t="array" ref="E42">IF($D42="Not Reached","Not Reached",_xlfn.LET(_xlpm.first_date,MIN(Leadtable[Date],Leadtable[Name]=$B42),_xlpm.days_taken,($D42-_xlpm.first_date)+1,
_xlpm.avg_per_day,ROUND($C$5/_xlpm.days_taken,2),_xlpm.avg_per_day))</f>
        <v>Not Reached</v>
      </c>
      <c r="F42" s="9" t="str">
        <f t="shared" si="0"/>
        <v>Behind Target</v>
      </c>
      <c r="J42" s="39" t="s">
        <v>92</v>
      </c>
      <c r="K42" s="40">
        <v>46025</v>
      </c>
      <c r="L42" s="39">
        <v>23</v>
      </c>
    </row>
    <row r="43" spans="2:12">
      <c r="J43" s="25" t="s">
        <v>43</v>
      </c>
      <c r="K43" s="32">
        <v>46025</v>
      </c>
      <c r="L43" s="25">
        <v>12</v>
      </c>
    </row>
    <row r="44" spans="2:12">
      <c r="J44" s="39" t="s">
        <v>92</v>
      </c>
      <c r="K44" s="40">
        <v>46025</v>
      </c>
      <c r="L44" s="39">
        <v>16</v>
      </c>
    </row>
    <row r="45" spans="2:12">
      <c r="J45" s="25" t="s">
        <v>23</v>
      </c>
      <c r="K45" s="32">
        <v>46025</v>
      </c>
      <c r="L45" s="25">
        <v>13</v>
      </c>
    </row>
    <row r="46" spans="2:12">
      <c r="J46" s="39" t="s">
        <v>86</v>
      </c>
      <c r="K46" s="40">
        <v>46025</v>
      </c>
      <c r="L46" s="39">
        <v>5</v>
      </c>
    </row>
    <row r="47" spans="2:12">
      <c r="J47" s="25" t="s">
        <v>70</v>
      </c>
      <c r="K47" s="32">
        <v>46025</v>
      </c>
      <c r="L47" s="25">
        <v>1</v>
      </c>
    </row>
    <row r="48" spans="2:12">
      <c r="J48" s="39" t="s">
        <v>58</v>
      </c>
      <c r="K48" s="40">
        <v>46026</v>
      </c>
      <c r="L48" s="39">
        <v>5</v>
      </c>
    </row>
    <row r="49" spans="10:12">
      <c r="J49" s="25" t="s">
        <v>72</v>
      </c>
      <c r="K49" s="32">
        <v>46026</v>
      </c>
      <c r="L49" s="25">
        <v>7</v>
      </c>
    </row>
    <row r="50" spans="10:12">
      <c r="J50" s="39" t="s">
        <v>90</v>
      </c>
      <c r="K50" s="40">
        <v>46026</v>
      </c>
      <c r="L50" s="39">
        <v>15</v>
      </c>
    </row>
    <row r="51" spans="10:12">
      <c r="J51" s="25" t="s">
        <v>18</v>
      </c>
      <c r="K51" s="32">
        <v>46026</v>
      </c>
      <c r="L51" s="25">
        <v>14</v>
      </c>
    </row>
    <row r="52" spans="10:12">
      <c r="J52" s="39" t="s">
        <v>96</v>
      </c>
      <c r="K52" s="40">
        <v>46026</v>
      </c>
      <c r="L52" s="39">
        <v>6</v>
      </c>
    </row>
    <row r="53" spans="10:12">
      <c r="J53" s="25" t="s">
        <v>74</v>
      </c>
      <c r="K53" s="32">
        <v>46026</v>
      </c>
      <c r="L53" s="25">
        <v>14</v>
      </c>
    </row>
    <row r="54" spans="10:12">
      <c r="J54" s="39" t="s">
        <v>49</v>
      </c>
      <c r="K54" s="40">
        <v>46026</v>
      </c>
      <c r="L54" s="39">
        <v>5</v>
      </c>
    </row>
    <row r="55" spans="10:12">
      <c r="J55" s="25" t="s">
        <v>28</v>
      </c>
      <c r="K55" s="32">
        <v>46026</v>
      </c>
      <c r="L55" s="25">
        <v>4</v>
      </c>
    </row>
    <row r="56" spans="10:12">
      <c r="J56" s="39" t="s">
        <v>100</v>
      </c>
      <c r="K56" s="40">
        <v>46026</v>
      </c>
      <c r="L56" s="39">
        <v>11</v>
      </c>
    </row>
    <row r="57" spans="10:12">
      <c r="J57" s="25" t="s">
        <v>63</v>
      </c>
      <c r="K57" s="32">
        <v>46026</v>
      </c>
      <c r="L57" s="25">
        <v>26</v>
      </c>
    </row>
    <row r="58" spans="10:12">
      <c r="J58" s="39" t="s">
        <v>84</v>
      </c>
      <c r="K58" s="40">
        <v>46027</v>
      </c>
      <c r="L58" s="39">
        <v>3</v>
      </c>
    </row>
    <row r="59" spans="10:12">
      <c r="J59" s="25" t="s">
        <v>98</v>
      </c>
      <c r="K59" s="32">
        <v>46027</v>
      </c>
      <c r="L59" s="25">
        <v>11</v>
      </c>
    </row>
    <row r="60" spans="10:12">
      <c r="J60" s="39" t="s">
        <v>80</v>
      </c>
      <c r="K60" s="40">
        <v>46027</v>
      </c>
      <c r="L60" s="39">
        <v>9</v>
      </c>
    </row>
    <row r="61" spans="10:12">
      <c r="J61" s="25" t="s">
        <v>74</v>
      </c>
      <c r="K61" s="32">
        <v>46027</v>
      </c>
      <c r="L61" s="25">
        <v>5</v>
      </c>
    </row>
    <row r="62" spans="10:12">
      <c r="J62" s="39" t="s">
        <v>43</v>
      </c>
      <c r="K62" s="40">
        <v>46027</v>
      </c>
      <c r="L62" s="39">
        <v>3</v>
      </c>
    </row>
    <row r="63" spans="10:12">
      <c r="J63" s="25" t="s">
        <v>28</v>
      </c>
      <c r="K63" s="32">
        <v>46027</v>
      </c>
      <c r="L63" s="25">
        <v>16</v>
      </c>
    </row>
    <row r="64" spans="10:12">
      <c r="J64" s="39" t="s">
        <v>46</v>
      </c>
      <c r="K64" s="40">
        <v>46027</v>
      </c>
      <c r="L64" s="39">
        <v>25</v>
      </c>
    </row>
    <row r="65" spans="10:12">
      <c r="J65" s="25" t="s">
        <v>31</v>
      </c>
      <c r="K65" s="32">
        <v>46027</v>
      </c>
      <c r="L65" s="25">
        <v>5</v>
      </c>
    </row>
    <row r="66" spans="10:12">
      <c r="J66" s="39" t="s">
        <v>11</v>
      </c>
      <c r="K66" s="40">
        <v>46027</v>
      </c>
      <c r="L66" s="39">
        <v>13</v>
      </c>
    </row>
    <row r="67" spans="10:12">
      <c r="J67" s="25" t="s">
        <v>23</v>
      </c>
      <c r="K67" s="32">
        <v>46027</v>
      </c>
      <c r="L67" s="25">
        <v>18</v>
      </c>
    </row>
    <row r="68" spans="10:12">
      <c r="J68" s="39" t="s">
        <v>40</v>
      </c>
      <c r="K68" s="40">
        <v>46027</v>
      </c>
      <c r="L68" s="39">
        <v>13</v>
      </c>
    </row>
    <row r="69" spans="10:12">
      <c r="J69" s="25" t="s">
        <v>84</v>
      </c>
      <c r="K69" s="32">
        <v>46027</v>
      </c>
      <c r="L69" s="25">
        <v>9</v>
      </c>
    </row>
    <row r="70" spans="10:12">
      <c r="J70" s="39" t="s">
        <v>23</v>
      </c>
      <c r="K70" s="40">
        <v>46028</v>
      </c>
      <c r="L70" s="39">
        <v>5</v>
      </c>
    </row>
    <row r="71" spans="10:12">
      <c r="J71" s="25" t="s">
        <v>86</v>
      </c>
      <c r="K71" s="32">
        <v>46028</v>
      </c>
      <c r="L71" s="25">
        <v>18</v>
      </c>
    </row>
    <row r="72" spans="10:12">
      <c r="J72" s="39" t="s">
        <v>86</v>
      </c>
      <c r="K72" s="40">
        <v>46028</v>
      </c>
      <c r="L72" s="39">
        <v>22</v>
      </c>
    </row>
    <row r="73" spans="10:12">
      <c r="J73" s="25" t="s">
        <v>46</v>
      </c>
      <c r="K73" s="32">
        <v>46028</v>
      </c>
      <c r="L73" s="25">
        <v>7</v>
      </c>
    </row>
    <row r="74" spans="10:12">
      <c r="J74" s="39" t="s">
        <v>63</v>
      </c>
      <c r="K74" s="40">
        <v>46028</v>
      </c>
      <c r="L74" s="39">
        <v>11</v>
      </c>
    </row>
    <row r="75" spans="10:12">
      <c r="J75" s="25" t="s">
        <v>70</v>
      </c>
      <c r="K75" s="32">
        <v>46028</v>
      </c>
      <c r="L75" s="25">
        <v>1</v>
      </c>
    </row>
    <row r="76" spans="10:12">
      <c r="J76" s="39" t="s">
        <v>61</v>
      </c>
      <c r="K76" s="40">
        <v>46028</v>
      </c>
      <c r="L76" s="39">
        <v>1</v>
      </c>
    </row>
    <row r="77" spans="10:12">
      <c r="J77" s="25" t="s">
        <v>38</v>
      </c>
      <c r="K77" s="32">
        <v>46028</v>
      </c>
      <c r="L77" s="25">
        <v>16</v>
      </c>
    </row>
    <row r="78" spans="10:12">
      <c r="J78" s="39" t="s">
        <v>74</v>
      </c>
      <c r="K78" s="40">
        <v>46028</v>
      </c>
      <c r="L78" s="39">
        <v>13</v>
      </c>
    </row>
    <row r="79" spans="10:12">
      <c r="J79" s="25" t="s">
        <v>35</v>
      </c>
      <c r="K79" s="32">
        <v>46028</v>
      </c>
      <c r="L79" s="25">
        <v>3</v>
      </c>
    </row>
    <row r="80" spans="10:12">
      <c r="J80" s="39" t="s">
        <v>88</v>
      </c>
      <c r="K80" s="40">
        <v>46028</v>
      </c>
      <c r="L80" s="39">
        <v>1</v>
      </c>
    </row>
    <row r="81" spans="10:12">
      <c r="J81" s="25" t="s">
        <v>94</v>
      </c>
      <c r="K81" s="32">
        <v>46028</v>
      </c>
      <c r="L81" s="25">
        <v>19</v>
      </c>
    </row>
    <row r="82" spans="10:12">
      <c r="J82" s="39" t="s">
        <v>94</v>
      </c>
      <c r="K82" s="40">
        <v>46028</v>
      </c>
      <c r="L82" s="39">
        <v>14</v>
      </c>
    </row>
    <row r="83" spans="10:12">
      <c r="J83" s="25" t="s">
        <v>88</v>
      </c>
      <c r="K83" s="32">
        <v>46028</v>
      </c>
      <c r="L83" s="25">
        <v>14</v>
      </c>
    </row>
    <row r="84" spans="10:12">
      <c r="J84" s="39" t="s">
        <v>94</v>
      </c>
      <c r="K84" s="40">
        <v>46028</v>
      </c>
      <c r="L84" s="39">
        <v>7</v>
      </c>
    </row>
    <row r="85" spans="10:12">
      <c r="J85" s="25" t="s">
        <v>82</v>
      </c>
      <c r="K85" s="32">
        <v>46028</v>
      </c>
      <c r="L85" s="25">
        <v>11</v>
      </c>
    </row>
    <row r="86" spans="10:12">
      <c r="J86" s="39" t="s">
        <v>80</v>
      </c>
      <c r="K86" s="40">
        <v>46028</v>
      </c>
      <c r="L86" s="39">
        <v>3</v>
      </c>
    </row>
    <row r="87" spans="10:12">
      <c r="J87" s="25" t="s">
        <v>80</v>
      </c>
      <c r="K87" s="32">
        <v>46028</v>
      </c>
      <c r="L87" s="25">
        <v>16</v>
      </c>
    </row>
    <row r="88" spans="10:12">
      <c r="J88" s="39" t="s">
        <v>49</v>
      </c>
      <c r="K88" s="40">
        <v>46029</v>
      </c>
      <c r="L88" s="39">
        <v>8</v>
      </c>
    </row>
    <row r="89" spans="10:12">
      <c r="J89" s="25" t="s">
        <v>82</v>
      </c>
      <c r="K89" s="32">
        <v>46029</v>
      </c>
      <c r="L89" s="25">
        <v>7</v>
      </c>
    </row>
    <row r="90" spans="10:12">
      <c r="J90" s="39" t="s">
        <v>35</v>
      </c>
      <c r="K90" s="40">
        <v>46029</v>
      </c>
      <c r="L90" s="39">
        <v>17</v>
      </c>
    </row>
    <row r="91" spans="10:12">
      <c r="J91" s="25" t="s">
        <v>23</v>
      </c>
      <c r="K91" s="32">
        <v>46029</v>
      </c>
      <c r="L91" s="25">
        <v>10</v>
      </c>
    </row>
    <row r="92" spans="10:12">
      <c r="J92" s="39" t="s">
        <v>80</v>
      </c>
      <c r="K92" s="40">
        <v>46029</v>
      </c>
      <c r="L92" s="39">
        <v>22</v>
      </c>
    </row>
    <row r="93" spans="10:12">
      <c r="J93" s="25" t="s">
        <v>78</v>
      </c>
      <c r="K93" s="32">
        <v>46029</v>
      </c>
      <c r="L93" s="25">
        <v>15</v>
      </c>
    </row>
    <row r="94" spans="10:12">
      <c r="J94" s="39" t="s">
        <v>94</v>
      </c>
      <c r="K94" s="40">
        <v>46029</v>
      </c>
      <c r="L94" s="39">
        <v>11</v>
      </c>
    </row>
    <row r="95" spans="10:12">
      <c r="J95" s="25" t="s">
        <v>88</v>
      </c>
      <c r="K95" s="32">
        <v>46029</v>
      </c>
      <c r="L95" s="25">
        <v>3</v>
      </c>
    </row>
    <row r="96" spans="10:12">
      <c r="J96" s="39" t="s">
        <v>49</v>
      </c>
      <c r="K96" s="40">
        <v>46029</v>
      </c>
      <c r="L96" s="39">
        <v>2</v>
      </c>
    </row>
    <row r="97" spans="10:12">
      <c r="J97" s="25" t="s">
        <v>51</v>
      </c>
      <c r="K97" s="32">
        <v>46029</v>
      </c>
      <c r="L97" s="25">
        <v>23</v>
      </c>
    </row>
    <row r="98" spans="10:12">
      <c r="J98" s="39" t="s">
        <v>70</v>
      </c>
      <c r="K98" s="40">
        <v>46029</v>
      </c>
      <c r="L98" s="39">
        <v>5</v>
      </c>
    </row>
    <row r="99" spans="10:12">
      <c r="J99" s="25" t="s">
        <v>65</v>
      </c>
      <c r="K99" s="32">
        <v>46029</v>
      </c>
      <c r="L99" s="25">
        <v>3</v>
      </c>
    </row>
    <row r="100" spans="10:12">
      <c r="J100" s="39" t="s">
        <v>74</v>
      </c>
      <c r="K100" s="40">
        <v>46030</v>
      </c>
      <c r="L100" s="39">
        <v>7</v>
      </c>
    </row>
    <row r="101" spans="10:12">
      <c r="J101" s="25" t="s">
        <v>76</v>
      </c>
      <c r="K101" s="32">
        <v>46030</v>
      </c>
      <c r="L101" s="25">
        <v>24</v>
      </c>
    </row>
    <row r="102" spans="10:12">
      <c r="J102" s="39" t="s">
        <v>31</v>
      </c>
      <c r="K102" s="40">
        <v>46030</v>
      </c>
      <c r="L102" s="39">
        <v>7</v>
      </c>
    </row>
    <row r="103" spans="10:12">
      <c r="J103" s="25" t="s">
        <v>40</v>
      </c>
      <c r="K103" s="32">
        <v>46030</v>
      </c>
      <c r="L103" s="25">
        <v>3</v>
      </c>
    </row>
    <row r="104" spans="10:12">
      <c r="J104" s="39" t="s">
        <v>88</v>
      </c>
      <c r="K104" s="40">
        <v>46030</v>
      </c>
      <c r="L104" s="39">
        <v>4</v>
      </c>
    </row>
    <row r="105" spans="10:12">
      <c r="J105" s="25" t="s">
        <v>40</v>
      </c>
      <c r="K105" s="32">
        <v>46030</v>
      </c>
      <c r="L105" s="25">
        <v>16</v>
      </c>
    </row>
    <row r="106" spans="10:12">
      <c r="J106" s="39" t="s">
        <v>72</v>
      </c>
      <c r="K106" s="40">
        <v>46030</v>
      </c>
      <c r="L106" s="39">
        <v>6</v>
      </c>
    </row>
    <row r="107" spans="10:12">
      <c r="J107" s="25" t="s">
        <v>80</v>
      </c>
      <c r="K107" s="32">
        <v>46030</v>
      </c>
      <c r="L107" s="25">
        <v>1</v>
      </c>
    </row>
    <row r="108" spans="10:12">
      <c r="J108" s="39" t="s">
        <v>90</v>
      </c>
      <c r="K108" s="40">
        <v>46031</v>
      </c>
      <c r="L108" s="39">
        <v>15</v>
      </c>
    </row>
    <row r="109" spans="10:12">
      <c r="J109" s="25" t="s">
        <v>80</v>
      </c>
      <c r="K109" s="32">
        <v>46031</v>
      </c>
      <c r="L109" s="25">
        <v>14</v>
      </c>
    </row>
    <row r="110" spans="10:12">
      <c r="J110" s="39" t="s">
        <v>78</v>
      </c>
      <c r="K110" s="40">
        <v>46031</v>
      </c>
      <c r="L110" s="39">
        <v>12</v>
      </c>
    </row>
    <row r="111" spans="10:12">
      <c r="J111" s="25" t="s">
        <v>23</v>
      </c>
      <c r="K111" s="32">
        <v>46031</v>
      </c>
      <c r="L111" s="25">
        <v>11</v>
      </c>
    </row>
    <row r="112" spans="10:12">
      <c r="J112" s="39" t="s">
        <v>96</v>
      </c>
      <c r="K112" s="40">
        <v>46031</v>
      </c>
      <c r="L112" s="39">
        <v>5</v>
      </c>
    </row>
    <row r="113" spans="10:12">
      <c r="J113" s="25" t="s">
        <v>63</v>
      </c>
      <c r="K113" s="32">
        <v>46031</v>
      </c>
      <c r="L113" s="25">
        <v>8</v>
      </c>
    </row>
    <row r="114" spans="10:12">
      <c r="J114" s="39" t="s">
        <v>65</v>
      </c>
      <c r="K114" s="40">
        <v>46031</v>
      </c>
      <c r="L114" s="39">
        <v>5</v>
      </c>
    </row>
    <row r="115" spans="10:12">
      <c r="J115" s="25" t="s">
        <v>90</v>
      </c>
      <c r="K115" s="32">
        <v>46031</v>
      </c>
      <c r="L115" s="25">
        <v>11</v>
      </c>
    </row>
    <row r="116" spans="10:12">
      <c r="J116" s="39" t="s">
        <v>63</v>
      </c>
      <c r="K116" s="40">
        <v>46031</v>
      </c>
      <c r="L116" s="39">
        <v>17</v>
      </c>
    </row>
    <row r="117" spans="10:12">
      <c r="J117" s="25" t="s">
        <v>55</v>
      </c>
      <c r="K117" s="32">
        <v>46031</v>
      </c>
      <c r="L117" s="25">
        <v>7</v>
      </c>
    </row>
    <row r="118" spans="10:12">
      <c r="J118" s="39" t="s">
        <v>23</v>
      </c>
      <c r="K118" s="40">
        <v>46031</v>
      </c>
      <c r="L118" s="39">
        <v>5</v>
      </c>
    </row>
    <row r="119" spans="10:12">
      <c r="J119" s="25" t="s">
        <v>72</v>
      </c>
      <c r="K119" s="32">
        <v>46031</v>
      </c>
      <c r="L119" s="25">
        <v>3</v>
      </c>
    </row>
    <row r="120" spans="10:12">
      <c r="J120" s="39" t="s">
        <v>40</v>
      </c>
      <c r="K120" s="40">
        <v>46031</v>
      </c>
      <c r="L120" s="39">
        <v>19</v>
      </c>
    </row>
    <row r="121" spans="10:12">
      <c r="J121" s="25" t="s">
        <v>84</v>
      </c>
      <c r="K121" s="32">
        <v>46031</v>
      </c>
      <c r="L121" s="25">
        <v>3</v>
      </c>
    </row>
    <row r="122" spans="10:12">
      <c r="J122" s="39" t="s">
        <v>46</v>
      </c>
      <c r="K122" s="40">
        <v>46031</v>
      </c>
      <c r="L122" s="39">
        <v>3</v>
      </c>
    </row>
    <row r="123" spans="10:12">
      <c r="J123" s="25" t="s">
        <v>100</v>
      </c>
      <c r="K123" s="32">
        <v>46032</v>
      </c>
      <c r="L123" s="25">
        <v>8</v>
      </c>
    </row>
    <row r="124" spans="10:12">
      <c r="J124" s="39" t="s">
        <v>78</v>
      </c>
      <c r="K124" s="40">
        <v>46032</v>
      </c>
      <c r="L124" s="39">
        <v>8</v>
      </c>
    </row>
    <row r="125" spans="10:12">
      <c r="J125" s="25" t="s">
        <v>65</v>
      </c>
      <c r="K125" s="32">
        <v>46032</v>
      </c>
      <c r="L125" s="25">
        <v>9</v>
      </c>
    </row>
    <row r="126" spans="10:12">
      <c r="J126" s="39" t="s">
        <v>98</v>
      </c>
      <c r="K126" s="40">
        <v>46032</v>
      </c>
      <c r="L126" s="39">
        <v>7</v>
      </c>
    </row>
    <row r="127" spans="10:12">
      <c r="J127" s="25" t="s">
        <v>51</v>
      </c>
      <c r="K127" s="32">
        <v>46032</v>
      </c>
      <c r="L127" s="25">
        <v>18</v>
      </c>
    </row>
    <row r="128" spans="10:12">
      <c r="J128" s="39" t="s">
        <v>67</v>
      </c>
      <c r="K128" s="40">
        <v>46032</v>
      </c>
      <c r="L128" s="39">
        <v>5</v>
      </c>
    </row>
    <row r="129" spans="10:12">
      <c r="J129" s="25" t="s">
        <v>78</v>
      </c>
      <c r="K129" s="32">
        <v>46033</v>
      </c>
      <c r="L129" s="25">
        <v>2</v>
      </c>
    </row>
    <row r="130" spans="10:12">
      <c r="J130" s="39" t="s">
        <v>84</v>
      </c>
      <c r="K130" s="40">
        <v>46033</v>
      </c>
      <c r="L130" s="39">
        <v>15</v>
      </c>
    </row>
    <row r="131" spans="10:12">
      <c r="J131" s="25" t="s">
        <v>72</v>
      </c>
      <c r="K131" s="32">
        <v>46033</v>
      </c>
      <c r="L131" s="25">
        <v>18</v>
      </c>
    </row>
    <row r="132" spans="10:12">
      <c r="J132" s="39" t="s">
        <v>78</v>
      </c>
      <c r="K132" s="40">
        <v>46033</v>
      </c>
      <c r="L132" s="39">
        <v>12</v>
      </c>
    </row>
    <row r="133" spans="10:12">
      <c r="J133" s="25" t="s">
        <v>82</v>
      </c>
      <c r="K133" s="32">
        <v>46033</v>
      </c>
      <c r="L133" s="25">
        <v>3</v>
      </c>
    </row>
    <row r="134" spans="10:12">
      <c r="J134" s="39" t="s">
        <v>31</v>
      </c>
      <c r="K134" s="40">
        <v>46033</v>
      </c>
      <c r="L134" s="39">
        <v>9</v>
      </c>
    </row>
    <row r="135" spans="10:12">
      <c r="J135" s="25" t="s">
        <v>94</v>
      </c>
      <c r="K135" s="32">
        <v>46033</v>
      </c>
      <c r="L135" s="25">
        <v>25</v>
      </c>
    </row>
    <row r="136" spans="10:12">
      <c r="J136" s="39" t="s">
        <v>28</v>
      </c>
      <c r="K136" s="40">
        <v>46033</v>
      </c>
      <c r="L136" s="39">
        <v>9</v>
      </c>
    </row>
    <row r="137" spans="10:12">
      <c r="J137" s="25" t="s">
        <v>58</v>
      </c>
      <c r="K137" s="32">
        <v>46033</v>
      </c>
      <c r="L137" s="25">
        <v>5</v>
      </c>
    </row>
    <row r="138" spans="10:12">
      <c r="J138" s="39" t="s">
        <v>61</v>
      </c>
      <c r="K138" s="40">
        <v>46033</v>
      </c>
      <c r="L138" s="39">
        <v>8</v>
      </c>
    </row>
    <row r="139" spans="10:12">
      <c r="J139" s="25" t="s">
        <v>84</v>
      </c>
      <c r="K139" s="32">
        <v>46033</v>
      </c>
      <c r="L139" s="25">
        <v>5</v>
      </c>
    </row>
    <row r="140" spans="10:12">
      <c r="J140" s="39" t="s">
        <v>84</v>
      </c>
      <c r="K140" s="40">
        <v>46033</v>
      </c>
      <c r="L140" s="39">
        <v>4</v>
      </c>
    </row>
    <row r="141" spans="10:12">
      <c r="J141" s="25" t="s">
        <v>28</v>
      </c>
      <c r="K141" s="32">
        <v>46033</v>
      </c>
      <c r="L141" s="25">
        <v>6</v>
      </c>
    </row>
    <row r="142" spans="10:12">
      <c r="J142" s="39" t="s">
        <v>92</v>
      </c>
      <c r="K142" s="40">
        <v>46033</v>
      </c>
      <c r="L142" s="39">
        <v>11</v>
      </c>
    </row>
    <row r="143" spans="10:12">
      <c r="J143" s="25" t="s">
        <v>70</v>
      </c>
      <c r="K143" s="32">
        <v>46033</v>
      </c>
      <c r="L143" s="25">
        <v>20</v>
      </c>
    </row>
    <row r="144" spans="10:12">
      <c r="J144" s="39" t="s">
        <v>49</v>
      </c>
      <c r="K144" s="40">
        <v>46033</v>
      </c>
      <c r="L144" s="39">
        <v>10</v>
      </c>
    </row>
    <row r="145" spans="10:12">
      <c r="J145" s="25" t="s">
        <v>43</v>
      </c>
      <c r="K145" s="32">
        <v>46033</v>
      </c>
      <c r="L145" s="25">
        <v>8</v>
      </c>
    </row>
    <row r="146" spans="10:12">
      <c r="J146" s="39" t="s">
        <v>35</v>
      </c>
      <c r="K146" s="40">
        <v>46034</v>
      </c>
      <c r="L146" s="39">
        <v>11</v>
      </c>
    </row>
    <row r="147" spans="10:12">
      <c r="J147" s="25" t="s">
        <v>78</v>
      </c>
      <c r="K147" s="32">
        <v>46034</v>
      </c>
      <c r="L147" s="25">
        <v>6</v>
      </c>
    </row>
    <row r="148" spans="10:12">
      <c r="J148" s="39" t="s">
        <v>86</v>
      </c>
      <c r="K148" s="40">
        <v>46034</v>
      </c>
      <c r="L148" s="39">
        <v>12</v>
      </c>
    </row>
    <row r="149" spans="10:12">
      <c r="J149" s="25" t="s">
        <v>90</v>
      </c>
      <c r="K149" s="32">
        <v>46034</v>
      </c>
      <c r="L149" s="25">
        <v>6</v>
      </c>
    </row>
    <row r="150" spans="10:12">
      <c r="J150" s="39" t="s">
        <v>49</v>
      </c>
      <c r="K150" s="40">
        <v>46034</v>
      </c>
      <c r="L150" s="39">
        <v>4</v>
      </c>
    </row>
    <row r="151" spans="10:12">
      <c r="J151" s="25" t="s">
        <v>31</v>
      </c>
      <c r="K151" s="32">
        <v>46034</v>
      </c>
      <c r="L151" s="25">
        <v>24</v>
      </c>
    </row>
    <row r="152" spans="10:12">
      <c r="J152" s="39" t="s">
        <v>43</v>
      </c>
      <c r="K152" s="40">
        <v>46034</v>
      </c>
      <c r="L152" s="39">
        <v>22</v>
      </c>
    </row>
    <row r="153" spans="10:12">
      <c r="J153" s="25" t="s">
        <v>49</v>
      </c>
      <c r="K153" s="32">
        <v>46034</v>
      </c>
      <c r="L153" s="25">
        <v>16</v>
      </c>
    </row>
    <row r="154" spans="10:12">
      <c r="J154" s="39" t="s">
        <v>38</v>
      </c>
      <c r="K154" s="40">
        <v>46034</v>
      </c>
      <c r="L154" s="39">
        <v>3</v>
      </c>
    </row>
    <row r="155" spans="10:12">
      <c r="J155" s="25" t="s">
        <v>40</v>
      </c>
      <c r="K155" s="32">
        <v>46034</v>
      </c>
      <c r="L155" s="25">
        <v>3</v>
      </c>
    </row>
    <row r="156" spans="10:12">
      <c r="J156" s="39" t="s">
        <v>38</v>
      </c>
      <c r="K156" s="40">
        <v>46034</v>
      </c>
      <c r="L156" s="39">
        <v>8</v>
      </c>
    </row>
    <row r="157" spans="10:12">
      <c r="J157" s="25" t="s">
        <v>31</v>
      </c>
      <c r="K157" s="32">
        <v>46034</v>
      </c>
      <c r="L157" s="25">
        <v>20</v>
      </c>
    </row>
    <row r="158" spans="10:12">
      <c r="J158" s="39" t="s">
        <v>98</v>
      </c>
      <c r="K158" s="40">
        <v>46034</v>
      </c>
      <c r="L158" s="39">
        <v>11</v>
      </c>
    </row>
    <row r="159" spans="10:12">
      <c r="J159" s="25" t="s">
        <v>76</v>
      </c>
      <c r="K159" s="32">
        <v>46035</v>
      </c>
      <c r="L159" s="25">
        <v>13</v>
      </c>
    </row>
    <row r="160" spans="10:12">
      <c r="J160" s="39" t="s">
        <v>72</v>
      </c>
      <c r="K160" s="40">
        <v>46035</v>
      </c>
      <c r="L160" s="39">
        <v>2</v>
      </c>
    </row>
    <row r="161" spans="10:12">
      <c r="J161" s="25" t="s">
        <v>96</v>
      </c>
      <c r="K161" s="32">
        <v>46035</v>
      </c>
      <c r="L161" s="25">
        <v>20</v>
      </c>
    </row>
    <row r="162" spans="10:12">
      <c r="J162" s="39" t="s">
        <v>90</v>
      </c>
      <c r="K162" s="40">
        <v>46035</v>
      </c>
      <c r="L162" s="39">
        <v>2</v>
      </c>
    </row>
    <row r="163" spans="10:12">
      <c r="J163" s="25" t="s">
        <v>70</v>
      </c>
      <c r="K163" s="32">
        <v>46035</v>
      </c>
      <c r="L163" s="25">
        <v>13</v>
      </c>
    </row>
    <row r="164" spans="10:12">
      <c r="J164" s="39" t="s">
        <v>23</v>
      </c>
      <c r="K164" s="40">
        <v>46035</v>
      </c>
      <c r="L164" s="39">
        <v>9</v>
      </c>
    </row>
    <row r="165" spans="10:12">
      <c r="J165" s="25" t="s">
        <v>76</v>
      </c>
      <c r="K165" s="32">
        <v>46035</v>
      </c>
      <c r="L165" s="25">
        <v>7</v>
      </c>
    </row>
    <row r="166" spans="10:12">
      <c r="J166" s="39" t="s">
        <v>70</v>
      </c>
      <c r="K166" s="40">
        <v>46035</v>
      </c>
      <c r="L166" s="39">
        <v>5</v>
      </c>
    </row>
    <row r="167" spans="10:12">
      <c r="J167" s="25" t="s">
        <v>90</v>
      </c>
      <c r="K167" s="32">
        <v>46035</v>
      </c>
      <c r="L167" s="25">
        <v>10</v>
      </c>
    </row>
    <row r="168" spans="10:12">
      <c r="J168" s="39" t="s">
        <v>72</v>
      </c>
      <c r="K168" s="40">
        <v>46035</v>
      </c>
      <c r="L168" s="39">
        <v>1</v>
      </c>
    </row>
    <row r="169" spans="10:12">
      <c r="J169" s="25" t="s">
        <v>58</v>
      </c>
      <c r="K169" s="32">
        <v>46035</v>
      </c>
      <c r="L169" s="25">
        <v>18</v>
      </c>
    </row>
    <row r="170" spans="10:12">
      <c r="J170" s="39" t="s">
        <v>43</v>
      </c>
      <c r="K170" s="40">
        <v>46035</v>
      </c>
      <c r="L170" s="39">
        <v>9</v>
      </c>
    </row>
    <row r="171" spans="10:12">
      <c r="J171" s="25" t="s">
        <v>90</v>
      </c>
      <c r="K171" s="32">
        <v>46035</v>
      </c>
      <c r="L171" s="25">
        <v>6</v>
      </c>
    </row>
    <row r="172" spans="10:12">
      <c r="J172" s="39" t="s">
        <v>82</v>
      </c>
      <c r="K172" s="40">
        <v>46035</v>
      </c>
      <c r="L172" s="39">
        <v>22</v>
      </c>
    </row>
    <row r="173" spans="10:12">
      <c r="J173" s="25" t="s">
        <v>92</v>
      </c>
      <c r="K173" s="32">
        <v>46036</v>
      </c>
      <c r="L173" s="25">
        <v>14</v>
      </c>
    </row>
    <row r="174" spans="10:12">
      <c r="J174" s="39" t="s">
        <v>98</v>
      </c>
      <c r="K174" s="40">
        <v>46036</v>
      </c>
      <c r="L174" s="39">
        <v>2</v>
      </c>
    </row>
    <row r="175" spans="10:12">
      <c r="J175" s="25" t="s">
        <v>98</v>
      </c>
      <c r="K175" s="32">
        <v>46036</v>
      </c>
      <c r="L175" s="25">
        <v>5</v>
      </c>
    </row>
    <row r="176" spans="10:12">
      <c r="J176" s="39" t="s">
        <v>67</v>
      </c>
      <c r="K176" s="40">
        <v>46036</v>
      </c>
      <c r="L176" s="39">
        <v>3</v>
      </c>
    </row>
    <row r="177" spans="10:12">
      <c r="J177" s="25" t="s">
        <v>28</v>
      </c>
      <c r="K177" s="32">
        <v>46036</v>
      </c>
      <c r="L177" s="25">
        <v>2</v>
      </c>
    </row>
    <row r="178" spans="10:12">
      <c r="J178" s="39" t="s">
        <v>43</v>
      </c>
      <c r="K178" s="40">
        <v>46036</v>
      </c>
      <c r="L178" s="39">
        <v>11</v>
      </c>
    </row>
    <row r="179" spans="10:12">
      <c r="J179" s="25" t="s">
        <v>65</v>
      </c>
      <c r="K179" s="32">
        <v>46036</v>
      </c>
      <c r="L179" s="25">
        <v>7</v>
      </c>
    </row>
    <row r="180" spans="10:12">
      <c r="J180" s="39" t="s">
        <v>58</v>
      </c>
      <c r="K180" s="40">
        <v>46036</v>
      </c>
      <c r="L180" s="39">
        <v>17</v>
      </c>
    </row>
    <row r="181" spans="10:12">
      <c r="J181" s="25" t="s">
        <v>53</v>
      </c>
      <c r="K181" s="32">
        <v>46036</v>
      </c>
      <c r="L181" s="25">
        <v>22</v>
      </c>
    </row>
    <row r="182" spans="10:12">
      <c r="J182" s="39" t="s">
        <v>98</v>
      </c>
      <c r="K182" s="40">
        <v>46036</v>
      </c>
      <c r="L182" s="39">
        <v>5</v>
      </c>
    </row>
    <row r="183" spans="10:12">
      <c r="J183" s="25" t="s">
        <v>18</v>
      </c>
      <c r="K183" s="32">
        <v>46036</v>
      </c>
      <c r="L183" s="25">
        <v>10</v>
      </c>
    </row>
    <row r="184" spans="10:12">
      <c r="J184" s="39" t="s">
        <v>63</v>
      </c>
      <c r="K184" s="40">
        <v>46036</v>
      </c>
      <c r="L184" s="39">
        <v>8</v>
      </c>
    </row>
    <row r="185" spans="10:12">
      <c r="J185" s="25" t="s">
        <v>70</v>
      </c>
      <c r="K185" s="32">
        <v>46036</v>
      </c>
      <c r="L185" s="25">
        <v>12</v>
      </c>
    </row>
    <row r="186" spans="10:12">
      <c r="J186" s="39" t="s">
        <v>96</v>
      </c>
      <c r="K186" s="40">
        <v>46037</v>
      </c>
      <c r="L186" s="39">
        <v>4</v>
      </c>
    </row>
    <row r="187" spans="10:12">
      <c r="J187" s="25" t="s">
        <v>76</v>
      </c>
      <c r="K187" s="32">
        <v>46037</v>
      </c>
      <c r="L187" s="25">
        <v>17</v>
      </c>
    </row>
    <row r="188" spans="10:12">
      <c r="J188" s="39" t="s">
        <v>98</v>
      </c>
      <c r="K188" s="40">
        <v>46037</v>
      </c>
      <c r="L188" s="39">
        <v>13</v>
      </c>
    </row>
    <row r="189" spans="10:12">
      <c r="J189" s="25" t="s">
        <v>53</v>
      </c>
      <c r="K189" s="32">
        <v>46037</v>
      </c>
      <c r="L189" s="25">
        <v>1</v>
      </c>
    </row>
    <row r="190" spans="10:12">
      <c r="J190" s="39" t="s">
        <v>51</v>
      </c>
      <c r="K190" s="40">
        <v>46037</v>
      </c>
      <c r="L190" s="39">
        <v>13</v>
      </c>
    </row>
    <row r="191" spans="10:12">
      <c r="J191" s="25" t="s">
        <v>92</v>
      </c>
      <c r="K191" s="32">
        <v>46037</v>
      </c>
      <c r="L191" s="25">
        <v>14</v>
      </c>
    </row>
    <row r="192" spans="10:12">
      <c r="J192" s="39" t="s">
        <v>58</v>
      </c>
      <c r="K192" s="40">
        <v>46037</v>
      </c>
      <c r="L192" s="39">
        <v>4</v>
      </c>
    </row>
    <row r="193" spans="10:12">
      <c r="J193" s="25" t="s">
        <v>70</v>
      </c>
      <c r="K193" s="32">
        <v>46037</v>
      </c>
      <c r="L193" s="25">
        <v>12</v>
      </c>
    </row>
    <row r="194" spans="10:12">
      <c r="J194" s="39" t="s">
        <v>90</v>
      </c>
      <c r="K194" s="40">
        <v>46037</v>
      </c>
      <c r="L194" s="39">
        <v>16</v>
      </c>
    </row>
    <row r="195" spans="10:12">
      <c r="J195" s="25" t="s">
        <v>70</v>
      </c>
      <c r="K195" s="32">
        <v>46037</v>
      </c>
      <c r="L195" s="25">
        <v>9</v>
      </c>
    </row>
    <row r="196" spans="10:12">
      <c r="J196" s="39" t="s">
        <v>40</v>
      </c>
      <c r="K196" s="40">
        <v>46037</v>
      </c>
      <c r="L196" s="39">
        <v>7</v>
      </c>
    </row>
    <row r="197" spans="10:12">
      <c r="J197" s="25" t="s">
        <v>38</v>
      </c>
      <c r="K197" s="32">
        <v>46037</v>
      </c>
      <c r="L197" s="25">
        <v>13</v>
      </c>
    </row>
    <row r="198" spans="10:12">
      <c r="J198" s="39" t="s">
        <v>31</v>
      </c>
      <c r="K198" s="40">
        <v>46037</v>
      </c>
      <c r="L198" s="39">
        <v>5</v>
      </c>
    </row>
    <row r="199" spans="10:12">
      <c r="J199" s="25" t="s">
        <v>72</v>
      </c>
      <c r="K199" s="32">
        <v>46037</v>
      </c>
      <c r="L199" s="25">
        <v>25</v>
      </c>
    </row>
    <row r="200" spans="10:12">
      <c r="J200" s="39" t="s">
        <v>88</v>
      </c>
      <c r="K200" s="40">
        <v>46038</v>
      </c>
      <c r="L200" s="39">
        <v>13</v>
      </c>
    </row>
    <row r="201" spans="10:12">
      <c r="J201" s="25" t="s">
        <v>38</v>
      </c>
      <c r="K201" s="32">
        <v>46038</v>
      </c>
      <c r="L201" s="25">
        <v>14</v>
      </c>
    </row>
    <row r="202" spans="10:12">
      <c r="J202" s="39" t="s">
        <v>82</v>
      </c>
      <c r="K202" s="40">
        <v>46038</v>
      </c>
      <c r="L202" s="39">
        <v>24</v>
      </c>
    </row>
    <row r="203" spans="10:12">
      <c r="J203" s="25" t="s">
        <v>74</v>
      </c>
      <c r="K203" s="32">
        <v>46038</v>
      </c>
      <c r="L203" s="25">
        <v>22</v>
      </c>
    </row>
    <row r="204" spans="10:12">
      <c r="J204" s="39" t="s">
        <v>94</v>
      </c>
      <c r="K204" s="40">
        <v>46038</v>
      </c>
      <c r="L204" s="39">
        <v>5</v>
      </c>
    </row>
    <row r="205" spans="10:12">
      <c r="J205" s="25" t="s">
        <v>74</v>
      </c>
      <c r="K205" s="32">
        <v>46038</v>
      </c>
      <c r="L205" s="25">
        <v>8</v>
      </c>
    </row>
    <row r="206" spans="10:12">
      <c r="J206" s="39" t="s">
        <v>31</v>
      </c>
      <c r="K206" s="40">
        <v>46038</v>
      </c>
      <c r="L206" s="39">
        <v>8</v>
      </c>
    </row>
    <row r="207" spans="10:12">
      <c r="J207" s="25" t="s">
        <v>70</v>
      </c>
      <c r="K207" s="32">
        <v>46038</v>
      </c>
      <c r="L207" s="25">
        <v>11</v>
      </c>
    </row>
    <row r="208" spans="10:12">
      <c r="J208" s="39" t="s">
        <v>92</v>
      </c>
      <c r="K208" s="40">
        <v>46038</v>
      </c>
      <c r="L208" s="39">
        <v>1</v>
      </c>
    </row>
    <row r="209" spans="10:12">
      <c r="J209" s="25" t="s">
        <v>65</v>
      </c>
      <c r="K209" s="32">
        <v>46038</v>
      </c>
      <c r="L209" s="25">
        <v>19</v>
      </c>
    </row>
    <row r="210" spans="10:12">
      <c r="J210" s="39" t="s">
        <v>43</v>
      </c>
      <c r="K210" s="40">
        <v>46039</v>
      </c>
      <c r="L210" s="39">
        <v>4</v>
      </c>
    </row>
    <row r="211" spans="10:12">
      <c r="J211" s="25" t="s">
        <v>23</v>
      </c>
      <c r="K211" s="32">
        <v>46039</v>
      </c>
      <c r="L211" s="25">
        <v>5</v>
      </c>
    </row>
    <row r="212" spans="10:12">
      <c r="J212" s="39" t="s">
        <v>72</v>
      </c>
      <c r="K212" s="40">
        <v>46039</v>
      </c>
      <c r="L212" s="39">
        <v>10</v>
      </c>
    </row>
    <row r="213" spans="10:12">
      <c r="J213" s="25" t="s">
        <v>49</v>
      </c>
      <c r="K213" s="32">
        <v>46039</v>
      </c>
      <c r="L213" s="25">
        <v>7</v>
      </c>
    </row>
    <row r="214" spans="10:12">
      <c r="J214" s="39" t="s">
        <v>49</v>
      </c>
      <c r="K214" s="40">
        <v>46039</v>
      </c>
      <c r="L214" s="39">
        <v>5</v>
      </c>
    </row>
    <row r="215" spans="10:12">
      <c r="J215" s="25" t="s">
        <v>18</v>
      </c>
      <c r="K215" s="32">
        <v>46039</v>
      </c>
      <c r="L215" s="25">
        <v>11</v>
      </c>
    </row>
    <row r="216" spans="10:12">
      <c r="J216" s="39" t="s">
        <v>61</v>
      </c>
      <c r="K216" s="40">
        <v>46039</v>
      </c>
      <c r="L216" s="39">
        <v>20</v>
      </c>
    </row>
    <row r="217" spans="10:12">
      <c r="J217" s="25" t="s">
        <v>65</v>
      </c>
      <c r="K217" s="32">
        <v>46039</v>
      </c>
      <c r="L217" s="25">
        <v>15</v>
      </c>
    </row>
    <row r="218" spans="10:12">
      <c r="J218" s="39" t="s">
        <v>86</v>
      </c>
      <c r="K218" s="40">
        <v>46039</v>
      </c>
      <c r="L218" s="39">
        <v>6</v>
      </c>
    </row>
    <row r="219" spans="10:12">
      <c r="J219" s="25" t="s">
        <v>76</v>
      </c>
      <c r="K219" s="32">
        <v>46039</v>
      </c>
      <c r="L219" s="25">
        <v>17</v>
      </c>
    </row>
    <row r="220" spans="10:12">
      <c r="J220" s="39" t="s">
        <v>67</v>
      </c>
      <c r="K220" s="40">
        <v>46039</v>
      </c>
      <c r="L220" s="39">
        <v>5</v>
      </c>
    </row>
    <row r="221" spans="10:12">
      <c r="J221" s="25" t="s">
        <v>72</v>
      </c>
      <c r="K221" s="32">
        <v>46039</v>
      </c>
      <c r="L221" s="25">
        <v>2</v>
      </c>
    </row>
    <row r="222" spans="10:12">
      <c r="J222" s="39" t="s">
        <v>78</v>
      </c>
      <c r="K222" s="40">
        <v>46039</v>
      </c>
      <c r="L222" s="39">
        <v>8</v>
      </c>
    </row>
    <row r="223" spans="10:12">
      <c r="J223" s="25" t="s">
        <v>84</v>
      </c>
      <c r="K223" s="32">
        <v>46040</v>
      </c>
      <c r="L223" s="25">
        <v>11</v>
      </c>
    </row>
    <row r="224" spans="10:12">
      <c r="J224" s="39" t="s">
        <v>11</v>
      </c>
      <c r="K224" s="40">
        <v>46040</v>
      </c>
      <c r="L224" s="39">
        <v>6</v>
      </c>
    </row>
    <row r="225" spans="10:12">
      <c r="J225" s="25" t="s">
        <v>38</v>
      </c>
      <c r="K225" s="32">
        <v>46040</v>
      </c>
      <c r="L225" s="25">
        <v>6</v>
      </c>
    </row>
    <row r="226" spans="10:12">
      <c r="J226" s="39" t="s">
        <v>65</v>
      </c>
      <c r="K226" s="40">
        <v>46040</v>
      </c>
      <c r="L226" s="39">
        <v>16</v>
      </c>
    </row>
    <row r="227" spans="10:12">
      <c r="J227" s="25" t="s">
        <v>72</v>
      </c>
      <c r="K227" s="32">
        <v>46040</v>
      </c>
      <c r="L227" s="25">
        <v>16</v>
      </c>
    </row>
    <row r="228" spans="10:12">
      <c r="J228" s="39" t="s">
        <v>51</v>
      </c>
      <c r="K228" s="40">
        <v>46040</v>
      </c>
      <c r="L228" s="39">
        <v>2</v>
      </c>
    </row>
    <row r="229" spans="10:12">
      <c r="J229" s="25" t="s">
        <v>51</v>
      </c>
      <c r="K229" s="32">
        <v>46040</v>
      </c>
      <c r="L229" s="25">
        <v>18</v>
      </c>
    </row>
    <row r="230" spans="10:12">
      <c r="J230" s="39" t="s">
        <v>61</v>
      </c>
      <c r="K230" s="40">
        <v>46040</v>
      </c>
      <c r="L230" s="39">
        <v>1</v>
      </c>
    </row>
    <row r="231" spans="10:12">
      <c r="J231" s="25" t="s">
        <v>53</v>
      </c>
      <c r="K231" s="32">
        <v>46040</v>
      </c>
      <c r="L231" s="25">
        <v>18</v>
      </c>
    </row>
    <row r="232" spans="10:12">
      <c r="J232" s="39" t="s">
        <v>28</v>
      </c>
      <c r="K232" s="40">
        <v>46040</v>
      </c>
      <c r="L232" s="39">
        <v>2</v>
      </c>
    </row>
    <row r="233" spans="10:12">
      <c r="J233" s="25" t="s">
        <v>61</v>
      </c>
      <c r="K233" s="32">
        <v>46040</v>
      </c>
      <c r="L233" s="25">
        <v>9</v>
      </c>
    </row>
    <row r="234" spans="10:12">
      <c r="J234" s="39" t="s">
        <v>96</v>
      </c>
      <c r="K234" s="40">
        <v>46040</v>
      </c>
      <c r="L234" s="39">
        <v>3</v>
      </c>
    </row>
    <row r="235" spans="10:12">
      <c r="J235" s="25" t="s">
        <v>53</v>
      </c>
      <c r="K235" s="32">
        <v>46040</v>
      </c>
      <c r="L235" s="25">
        <v>3</v>
      </c>
    </row>
    <row r="236" spans="10:12">
      <c r="J236" s="39" t="s">
        <v>80</v>
      </c>
      <c r="K236" s="40">
        <v>46040</v>
      </c>
      <c r="L236" s="39">
        <v>2</v>
      </c>
    </row>
    <row r="237" spans="10:12">
      <c r="J237" s="25" t="s">
        <v>92</v>
      </c>
      <c r="K237" s="32">
        <v>46040</v>
      </c>
      <c r="L237" s="25">
        <v>1</v>
      </c>
    </row>
    <row r="238" spans="10:12">
      <c r="J238" s="39" t="s">
        <v>80</v>
      </c>
      <c r="K238" s="40">
        <v>46040</v>
      </c>
      <c r="L238" s="39">
        <v>16</v>
      </c>
    </row>
    <row r="239" spans="10:12">
      <c r="J239" s="25" t="s">
        <v>70</v>
      </c>
      <c r="K239" s="32">
        <v>46041</v>
      </c>
      <c r="L239" s="25">
        <v>8</v>
      </c>
    </row>
    <row r="240" spans="10:12">
      <c r="J240" s="39" t="s">
        <v>51</v>
      </c>
      <c r="K240" s="40">
        <v>46041</v>
      </c>
      <c r="L240" s="39">
        <v>2</v>
      </c>
    </row>
    <row r="241" spans="10:12">
      <c r="J241" s="25" t="s">
        <v>65</v>
      </c>
      <c r="K241" s="32">
        <v>46041</v>
      </c>
      <c r="L241" s="25">
        <v>4</v>
      </c>
    </row>
    <row r="242" spans="10:12">
      <c r="J242" s="39" t="s">
        <v>23</v>
      </c>
      <c r="K242" s="40">
        <v>46041</v>
      </c>
      <c r="L242" s="39">
        <v>16</v>
      </c>
    </row>
    <row r="243" spans="10:12">
      <c r="J243" s="25" t="s">
        <v>98</v>
      </c>
      <c r="K243" s="32">
        <v>46041</v>
      </c>
      <c r="L243" s="25">
        <v>9</v>
      </c>
    </row>
    <row r="244" spans="10:12">
      <c r="J244" s="39" t="s">
        <v>31</v>
      </c>
      <c r="K244" s="40">
        <v>46041</v>
      </c>
      <c r="L244" s="39">
        <v>6</v>
      </c>
    </row>
    <row r="245" spans="10:12">
      <c r="J245" s="25" t="s">
        <v>18</v>
      </c>
      <c r="K245" s="32">
        <v>46041</v>
      </c>
      <c r="L245" s="25">
        <v>5</v>
      </c>
    </row>
    <row r="246" spans="10:12">
      <c r="J246" s="39" t="s">
        <v>11</v>
      </c>
      <c r="K246" s="40">
        <v>46041</v>
      </c>
      <c r="L246" s="39">
        <v>22</v>
      </c>
    </row>
    <row r="247" spans="10:12">
      <c r="J247" s="25" t="s">
        <v>80</v>
      </c>
      <c r="K247" s="32">
        <v>46041</v>
      </c>
      <c r="L247" s="25">
        <v>26</v>
      </c>
    </row>
    <row r="248" spans="10:12">
      <c r="J248" s="39" t="s">
        <v>88</v>
      </c>
      <c r="K248" s="40">
        <v>46041</v>
      </c>
      <c r="L248" s="39">
        <v>8</v>
      </c>
    </row>
    <row r="249" spans="10:12">
      <c r="J249" s="25" t="s">
        <v>82</v>
      </c>
      <c r="K249" s="32">
        <v>46041</v>
      </c>
      <c r="L249" s="25">
        <v>2</v>
      </c>
    </row>
    <row r="250" spans="10:12">
      <c r="J250" s="39" t="s">
        <v>63</v>
      </c>
      <c r="K250" s="40">
        <v>46041</v>
      </c>
      <c r="L250" s="39">
        <v>21</v>
      </c>
    </row>
    <row r="251" spans="10:12">
      <c r="J251" s="25" t="s">
        <v>63</v>
      </c>
      <c r="K251" s="32">
        <v>46041</v>
      </c>
      <c r="L251" s="25">
        <v>6</v>
      </c>
    </row>
    <row r="252" spans="10:12">
      <c r="J252" s="39" t="s">
        <v>55</v>
      </c>
      <c r="K252" s="40">
        <v>46041</v>
      </c>
      <c r="L252" s="39">
        <v>2</v>
      </c>
    </row>
    <row r="253" spans="10:12">
      <c r="J253" s="25" t="s">
        <v>51</v>
      </c>
      <c r="K253" s="32">
        <v>46041</v>
      </c>
      <c r="L253" s="25">
        <v>7</v>
      </c>
    </row>
    <row r="254" spans="10:12">
      <c r="J254" s="39" t="s">
        <v>53</v>
      </c>
      <c r="K254" s="40">
        <v>46042</v>
      </c>
      <c r="L254" s="39">
        <v>4</v>
      </c>
    </row>
    <row r="255" spans="10:12">
      <c r="J255" s="25" t="s">
        <v>67</v>
      </c>
      <c r="K255" s="32">
        <v>46042</v>
      </c>
      <c r="L255" s="25">
        <v>11</v>
      </c>
    </row>
    <row r="256" spans="10:12">
      <c r="J256" s="39" t="s">
        <v>40</v>
      </c>
      <c r="K256" s="40">
        <v>46042</v>
      </c>
      <c r="L256" s="39">
        <v>3</v>
      </c>
    </row>
    <row r="257" spans="10:12">
      <c r="J257" s="25" t="s">
        <v>88</v>
      </c>
      <c r="K257" s="32">
        <v>46042</v>
      </c>
      <c r="L257" s="25">
        <v>1</v>
      </c>
    </row>
    <row r="258" spans="10:12">
      <c r="J258" s="39" t="s">
        <v>92</v>
      </c>
      <c r="K258" s="40">
        <v>46042</v>
      </c>
      <c r="L258" s="39">
        <v>4</v>
      </c>
    </row>
    <row r="259" spans="10:12">
      <c r="J259" s="25" t="s">
        <v>92</v>
      </c>
      <c r="K259" s="32">
        <v>46042</v>
      </c>
      <c r="L259" s="25">
        <v>11</v>
      </c>
    </row>
    <row r="260" spans="10:12">
      <c r="J260" s="39" t="s">
        <v>11</v>
      </c>
      <c r="K260" s="40">
        <v>46042</v>
      </c>
      <c r="L260" s="39">
        <v>6</v>
      </c>
    </row>
    <row r="261" spans="10:12">
      <c r="J261" s="25" t="s">
        <v>74</v>
      </c>
      <c r="K261" s="32">
        <v>46042</v>
      </c>
      <c r="L261" s="25">
        <v>7</v>
      </c>
    </row>
    <row r="262" spans="10:12">
      <c r="J262" s="39" t="s">
        <v>76</v>
      </c>
      <c r="K262" s="40">
        <v>46042</v>
      </c>
      <c r="L262" s="39">
        <v>3</v>
      </c>
    </row>
    <row r="263" spans="10:12">
      <c r="J263" s="25" t="s">
        <v>76</v>
      </c>
      <c r="K263" s="32">
        <v>46042</v>
      </c>
      <c r="L263" s="25">
        <v>14</v>
      </c>
    </row>
    <row r="264" spans="10:12">
      <c r="J264" s="39" t="s">
        <v>94</v>
      </c>
      <c r="K264" s="40">
        <v>46042</v>
      </c>
      <c r="L264" s="39">
        <v>8</v>
      </c>
    </row>
    <row r="265" spans="10:12">
      <c r="J265" s="25" t="s">
        <v>88</v>
      </c>
      <c r="K265" s="32">
        <v>46042</v>
      </c>
      <c r="L265" s="25">
        <v>8</v>
      </c>
    </row>
    <row r="266" spans="10:12">
      <c r="J266" s="39" t="s">
        <v>86</v>
      </c>
      <c r="K266" s="40">
        <v>46042</v>
      </c>
      <c r="L266" s="39">
        <v>4</v>
      </c>
    </row>
    <row r="267" spans="10:12">
      <c r="J267" s="25" t="s">
        <v>43</v>
      </c>
      <c r="K267" s="32">
        <v>46043</v>
      </c>
      <c r="L267" s="25">
        <v>4</v>
      </c>
    </row>
    <row r="268" spans="10:12">
      <c r="J268" s="39" t="s">
        <v>78</v>
      </c>
      <c r="K268" s="40">
        <v>46043</v>
      </c>
      <c r="L268" s="39">
        <v>20</v>
      </c>
    </row>
    <row r="269" spans="10:12">
      <c r="J269" s="25" t="s">
        <v>65</v>
      </c>
      <c r="K269" s="32">
        <v>46043</v>
      </c>
      <c r="L269" s="25">
        <v>19</v>
      </c>
    </row>
    <row r="270" spans="10:12">
      <c r="J270" s="39" t="s">
        <v>67</v>
      </c>
      <c r="K270" s="40">
        <v>46043</v>
      </c>
      <c r="L270" s="39">
        <v>5</v>
      </c>
    </row>
    <row r="271" spans="10:12">
      <c r="J271" s="25" t="s">
        <v>23</v>
      </c>
      <c r="K271" s="32">
        <v>46043</v>
      </c>
      <c r="L271" s="25">
        <v>1</v>
      </c>
    </row>
    <row r="272" spans="10:12">
      <c r="J272" s="39" t="s">
        <v>49</v>
      </c>
      <c r="K272" s="40">
        <v>46043</v>
      </c>
      <c r="L272" s="39">
        <v>8</v>
      </c>
    </row>
    <row r="273" spans="10:12">
      <c r="J273" s="25" t="s">
        <v>11</v>
      </c>
      <c r="K273" s="32">
        <v>46043</v>
      </c>
      <c r="L273" s="25">
        <v>5</v>
      </c>
    </row>
    <row r="274" spans="10:12">
      <c r="J274" s="39" t="s">
        <v>28</v>
      </c>
      <c r="K274" s="40">
        <v>46043</v>
      </c>
      <c r="L274" s="39">
        <v>22</v>
      </c>
    </row>
    <row r="275" spans="10:12">
      <c r="J275" s="25" t="s">
        <v>31</v>
      </c>
      <c r="K275" s="32">
        <v>46043</v>
      </c>
      <c r="L275" s="25">
        <v>12</v>
      </c>
    </row>
    <row r="276" spans="10:12">
      <c r="J276" s="39" t="s">
        <v>40</v>
      </c>
      <c r="K276" s="40">
        <v>46043</v>
      </c>
      <c r="L276" s="39">
        <v>18</v>
      </c>
    </row>
    <row r="277" spans="10:12">
      <c r="J277" s="25" t="s">
        <v>28</v>
      </c>
      <c r="K277" s="32">
        <v>46043</v>
      </c>
      <c r="L277" s="25">
        <v>13</v>
      </c>
    </row>
    <row r="278" spans="10:12">
      <c r="J278" s="39" t="s">
        <v>70</v>
      </c>
      <c r="K278" s="40">
        <v>46043</v>
      </c>
      <c r="L278" s="39">
        <v>4</v>
      </c>
    </row>
    <row r="279" spans="10:12">
      <c r="J279" s="25" t="s">
        <v>84</v>
      </c>
      <c r="K279" s="32">
        <v>46043</v>
      </c>
      <c r="L279" s="25">
        <v>2</v>
      </c>
    </row>
    <row r="280" spans="10:12">
      <c r="J280" s="39" t="s">
        <v>49</v>
      </c>
      <c r="K280" s="40">
        <v>46044</v>
      </c>
      <c r="L280" s="39">
        <v>10</v>
      </c>
    </row>
    <row r="281" spans="10:12">
      <c r="J281" s="25" t="s">
        <v>76</v>
      </c>
      <c r="K281" s="32">
        <v>46044</v>
      </c>
      <c r="L281" s="25">
        <v>5</v>
      </c>
    </row>
    <row r="282" spans="10:12">
      <c r="J282" s="39" t="s">
        <v>61</v>
      </c>
      <c r="K282" s="40">
        <v>46044</v>
      </c>
      <c r="L282" s="39">
        <v>24</v>
      </c>
    </row>
    <row r="283" spans="10:12">
      <c r="J283" s="25" t="s">
        <v>23</v>
      </c>
      <c r="K283" s="32">
        <v>46044</v>
      </c>
      <c r="L283" s="25">
        <v>15</v>
      </c>
    </row>
    <row r="284" spans="10:12">
      <c r="J284" s="39" t="s">
        <v>46</v>
      </c>
      <c r="K284" s="40">
        <v>46044</v>
      </c>
      <c r="L284" s="39">
        <v>3</v>
      </c>
    </row>
    <row r="285" spans="10:12">
      <c r="J285" s="25" t="s">
        <v>28</v>
      </c>
      <c r="K285" s="32">
        <v>46044</v>
      </c>
      <c r="L285" s="25">
        <v>5</v>
      </c>
    </row>
    <row r="286" spans="10:12">
      <c r="J286" s="39" t="s">
        <v>43</v>
      </c>
      <c r="K286" s="40">
        <v>46044</v>
      </c>
      <c r="L286" s="39">
        <v>17</v>
      </c>
    </row>
    <row r="287" spans="10:12">
      <c r="J287" s="25" t="s">
        <v>90</v>
      </c>
      <c r="K287" s="32">
        <v>46044</v>
      </c>
      <c r="L287" s="25">
        <v>15</v>
      </c>
    </row>
    <row r="288" spans="10:12">
      <c r="J288" s="39" t="s">
        <v>82</v>
      </c>
      <c r="K288" s="40">
        <v>46044</v>
      </c>
      <c r="L288" s="39">
        <v>9</v>
      </c>
    </row>
    <row r="289" spans="10:12">
      <c r="J289" s="25" t="s">
        <v>63</v>
      </c>
      <c r="K289" s="32">
        <v>46044</v>
      </c>
      <c r="L289" s="25">
        <v>5</v>
      </c>
    </row>
    <row r="290" spans="10:12">
      <c r="J290" s="39" t="s">
        <v>61</v>
      </c>
      <c r="K290" s="40">
        <v>46044</v>
      </c>
      <c r="L290" s="39">
        <v>7</v>
      </c>
    </row>
    <row r="291" spans="10:12">
      <c r="J291" s="25" t="s">
        <v>11</v>
      </c>
      <c r="K291" s="32">
        <v>46044</v>
      </c>
      <c r="L291" s="25">
        <v>2</v>
      </c>
    </row>
    <row r="292" spans="10:12">
      <c r="J292" s="39" t="s">
        <v>86</v>
      </c>
      <c r="K292" s="40">
        <v>46044</v>
      </c>
      <c r="L292" s="39">
        <v>6</v>
      </c>
    </row>
    <row r="293" spans="10:12">
      <c r="J293" s="25" t="s">
        <v>76</v>
      </c>
      <c r="K293" s="32">
        <v>46045</v>
      </c>
      <c r="L293" s="25">
        <v>2</v>
      </c>
    </row>
    <row r="294" spans="10:12">
      <c r="J294" s="39" t="s">
        <v>49</v>
      </c>
      <c r="K294" s="40">
        <v>46045</v>
      </c>
      <c r="L294" s="39">
        <v>3</v>
      </c>
    </row>
    <row r="295" spans="10:12">
      <c r="J295" s="25" t="s">
        <v>88</v>
      </c>
      <c r="K295" s="32">
        <v>46045</v>
      </c>
      <c r="L295" s="25">
        <v>4</v>
      </c>
    </row>
    <row r="296" spans="10:12">
      <c r="J296" s="39" t="s">
        <v>80</v>
      </c>
      <c r="K296" s="40">
        <v>46045</v>
      </c>
      <c r="L296" s="39">
        <v>1</v>
      </c>
    </row>
    <row r="297" spans="10:12">
      <c r="J297" s="25" t="s">
        <v>31</v>
      </c>
      <c r="K297" s="32">
        <v>46045</v>
      </c>
      <c r="L297" s="25">
        <v>10</v>
      </c>
    </row>
    <row r="298" spans="10:12">
      <c r="J298" s="39" t="s">
        <v>74</v>
      </c>
      <c r="K298" s="40">
        <v>46045</v>
      </c>
      <c r="L298" s="39">
        <v>21</v>
      </c>
    </row>
    <row r="299" spans="10:12">
      <c r="J299" s="25" t="s">
        <v>51</v>
      </c>
      <c r="K299" s="32">
        <v>46045</v>
      </c>
      <c r="L299" s="25">
        <v>17</v>
      </c>
    </row>
    <row r="300" spans="10:12">
      <c r="J300" s="39" t="s">
        <v>31</v>
      </c>
      <c r="K300" s="40">
        <v>46045</v>
      </c>
      <c r="L300" s="39">
        <v>10</v>
      </c>
    </row>
    <row r="301" spans="10:12">
      <c r="J301" s="25" t="s">
        <v>80</v>
      </c>
      <c r="K301" s="32">
        <v>46045</v>
      </c>
      <c r="L301" s="25">
        <v>13</v>
      </c>
    </row>
    <row r="302" spans="10:12">
      <c r="J302" s="39" t="s">
        <v>23</v>
      </c>
      <c r="K302" s="40">
        <v>46045</v>
      </c>
      <c r="L302" s="39">
        <v>5</v>
      </c>
    </row>
    <row r="303" spans="10:12">
      <c r="J303" s="25" t="s">
        <v>86</v>
      </c>
      <c r="K303" s="32">
        <v>46045</v>
      </c>
      <c r="L303" s="25">
        <v>7</v>
      </c>
    </row>
    <row r="304" spans="10:12">
      <c r="J304" s="39" t="s">
        <v>82</v>
      </c>
      <c r="K304" s="40">
        <v>46045</v>
      </c>
      <c r="L304" s="39">
        <v>4</v>
      </c>
    </row>
    <row r="305" spans="10:12">
      <c r="J305" s="25" t="s">
        <v>78</v>
      </c>
      <c r="K305" s="32">
        <v>46045</v>
      </c>
      <c r="L305" s="25">
        <v>2</v>
      </c>
    </row>
    <row r="306" spans="10:12">
      <c r="J306" s="39" t="s">
        <v>98</v>
      </c>
      <c r="K306" s="40">
        <v>46045</v>
      </c>
      <c r="L306" s="39">
        <v>12</v>
      </c>
    </row>
    <row r="307" spans="10:12">
      <c r="J307" s="25" t="s">
        <v>46</v>
      </c>
      <c r="K307" s="32">
        <v>46045</v>
      </c>
      <c r="L307" s="25">
        <v>24</v>
      </c>
    </row>
    <row r="308" spans="10:12">
      <c r="J308" s="39" t="s">
        <v>67</v>
      </c>
      <c r="K308" s="40">
        <v>46045</v>
      </c>
      <c r="L308" s="39">
        <v>14</v>
      </c>
    </row>
    <row r="309" spans="10:12">
      <c r="J309" s="25" t="s">
        <v>80</v>
      </c>
      <c r="K309" s="32">
        <v>46045</v>
      </c>
      <c r="L309" s="25">
        <v>11</v>
      </c>
    </row>
    <row r="310" spans="10:12">
      <c r="J310" s="39" t="s">
        <v>98</v>
      </c>
      <c r="K310" s="40">
        <v>46046</v>
      </c>
      <c r="L310" s="39">
        <v>17</v>
      </c>
    </row>
    <row r="311" spans="10:12">
      <c r="J311" s="25" t="s">
        <v>31</v>
      </c>
      <c r="K311" s="32">
        <v>46046</v>
      </c>
      <c r="L311" s="25">
        <v>6</v>
      </c>
    </row>
    <row r="312" spans="10:12">
      <c r="J312" s="39" t="s">
        <v>31</v>
      </c>
      <c r="K312" s="40">
        <v>46046</v>
      </c>
      <c r="L312" s="39">
        <v>14</v>
      </c>
    </row>
    <row r="313" spans="10:12">
      <c r="J313" s="25" t="s">
        <v>80</v>
      </c>
      <c r="K313" s="32">
        <v>46046</v>
      </c>
      <c r="L313" s="25">
        <v>24</v>
      </c>
    </row>
    <row r="314" spans="10:12">
      <c r="J314" s="39" t="s">
        <v>86</v>
      </c>
      <c r="K314" s="40">
        <v>46046</v>
      </c>
      <c r="L314" s="39">
        <v>9</v>
      </c>
    </row>
    <row r="315" spans="10:12">
      <c r="J315" s="25" t="s">
        <v>78</v>
      </c>
      <c r="K315" s="32">
        <v>46046</v>
      </c>
      <c r="L315" s="25">
        <v>15</v>
      </c>
    </row>
    <row r="316" spans="10:12">
      <c r="J316" s="39" t="s">
        <v>43</v>
      </c>
      <c r="K316" s="40">
        <v>46046</v>
      </c>
      <c r="L316" s="39">
        <v>9</v>
      </c>
    </row>
    <row r="317" spans="10:12">
      <c r="J317" s="25" t="s">
        <v>46</v>
      </c>
      <c r="K317" s="32">
        <v>46046</v>
      </c>
      <c r="L317" s="25">
        <v>1</v>
      </c>
    </row>
    <row r="318" spans="10:12">
      <c r="J318" s="39" t="s">
        <v>43</v>
      </c>
      <c r="K318" s="40">
        <v>46046</v>
      </c>
      <c r="L318" s="39">
        <v>3</v>
      </c>
    </row>
    <row r="319" spans="10:12">
      <c r="J319" s="25" t="s">
        <v>65</v>
      </c>
      <c r="K319" s="32">
        <v>46046</v>
      </c>
      <c r="L319" s="25">
        <v>1</v>
      </c>
    </row>
    <row r="320" spans="10:12">
      <c r="J320" s="39" t="s">
        <v>49</v>
      </c>
      <c r="K320" s="40">
        <v>46046</v>
      </c>
      <c r="L320" s="39">
        <v>2</v>
      </c>
    </row>
    <row r="321" spans="10:12">
      <c r="J321" s="25" t="s">
        <v>82</v>
      </c>
      <c r="K321" s="32">
        <v>46046</v>
      </c>
      <c r="L321" s="25">
        <v>12</v>
      </c>
    </row>
    <row r="322" spans="10:12">
      <c r="J322" s="39" t="s">
        <v>38</v>
      </c>
      <c r="K322" s="40">
        <v>46046</v>
      </c>
      <c r="L322" s="39">
        <v>9</v>
      </c>
    </row>
    <row r="323" spans="10:12">
      <c r="J323" s="25" t="s">
        <v>51</v>
      </c>
      <c r="K323" s="32">
        <v>46046</v>
      </c>
      <c r="L323" s="25">
        <v>23</v>
      </c>
    </row>
    <row r="324" spans="10:12">
      <c r="J324" s="39" t="s">
        <v>61</v>
      </c>
      <c r="K324" s="40">
        <v>46046</v>
      </c>
      <c r="L324" s="39">
        <v>6</v>
      </c>
    </row>
    <row r="325" spans="10:12">
      <c r="J325" s="25" t="s">
        <v>98</v>
      </c>
      <c r="K325" s="32">
        <v>46046</v>
      </c>
      <c r="L325" s="25">
        <v>9</v>
      </c>
    </row>
    <row r="326" spans="10:12">
      <c r="J326" s="39" t="s">
        <v>35</v>
      </c>
      <c r="K326" s="40">
        <v>46047</v>
      </c>
      <c r="L326" s="39">
        <v>8</v>
      </c>
    </row>
    <row r="327" spans="10:12">
      <c r="J327" s="25" t="s">
        <v>84</v>
      </c>
      <c r="K327" s="32">
        <v>46047</v>
      </c>
      <c r="L327" s="25">
        <v>15</v>
      </c>
    </row>
    <row r="328" spans="10:12">
      <c r="J328" s="39" t="s">
        <v>76</v>
      </c>
      <c r="K328" s="40">
        <v>46047</v>
      </c>
      <c r="L328" s="39">
        <v>1</v>
      </c>
    </row>
    <row r="329" spans="10:12">
      <c r="J329" s="25" t="s">
        <v>55</v>
      </c>
      <c r="K329" s="32">
        <v>46047</v>
      </c>
      <c r="L329" s="25">
        <v>7</v>
      </c>
    </row>
    <row r="330" spans="10:12">
      <c r="J330" s="39" t="s">
        <v>94</v>
      </c>
      <c r="K330" s="40">
        <v>46047</v>
      </c>
      <c r="L330" s="39">
        <v>5</v>
      </c>
    </row>
    <row r="331" spans="10:12">
      <c r="J331" s="25" t="s">
        <v>53</v>
      </c>
      <c r="K331" s="32">
        <v>46047</v>
      </c>
      <c r="L331" s="25">
        <v>1</v>
      </c>
    </row>
    <row r="332" spans="10:12">
      <c r="J332" s="39" t="s">
        <v>80</v>
      </c>
      <c r="K332" s="40">
        <v>46047</v>
      </c>
      <c r="L332" s="39">
        <v>18</v>
      </c>
    </row>
    <row r="333" spans="10:12">
      <c r="J333" s="25" t="s">
        <v>67</v>
      </c>
      <c r="K333" s="32">
        <v>46047</v>
      </c>
      <c r="L333" s="25">
        <v>2</v>
      </c>
    </row>
    <row r="334" spans="10:12">
      <c r="J334" s="39" t="s">
        <v>18</v>
      </c>
      <c r="K334" s="40">
        <v>46047</v>
      </c>
      <c r="L334" s="39">
        <v>23</v>
      </c>
    </row>
    <row r="335" spans="10:12">
      <c r="J335" s="25" t="s">
        <v>40</v>
      </c>
      <c r="K335" s="32">
        <v>46047</v>
      </c>
      <c r="L335" s="25">
        <v>5</v>
      </c>
    </row>
    <row r="336" spans="10:12">
      <c r="J336" s="39" t="s">
        <v>49</v>
      </c>
      <c r="K336" s="40">
        <v>46047</v>
      </c>
      <c r="L336" s="39">
        <v>8</v>
      </c>
    </row>
    <row r="337" spans="10:12">
      <c r="J337" s="25" t="s">
        <v>100</v>
      </c>
      <c r="K337" s="32">
        <v>46048</v>
      </c>
      <c r="L337" s="25">
        <v>7</v>
      </c>
    </row>
    <row r="338" spans="10:12">
      <c r="J338" s="39" t="s">
        <v>61</v>
      </c>
      <c r="K338" s="40">
        <v>46048</v>
      </c>
      <c r="L338" s="39">
        <v>3</v>
      </c>
    </row>
    <row r="339" spans="10:12">
      <c r="J339" s="25" t="s">
        <v>72</v>
      </c>
      <c r="K339" s="32">
        <v>46048</v>
      </c>
      <c r="L339" s="25">
        <v>3</v>
      </c>
    </row>
    <row r="340" spans="10:12">
      <c r="J340" s="39" t="s">
        <v>80</v>
      </c>
      <c r="K340" s="40">
        <v>46048</v>
      </c>
      <c r="L340" s="39">
        <v>28</v>
      </c>
    </row>
    <row r="341" spans="10:12">
      <c r="J341" s="25" t="s">
        <v>67</v>
      </c>
      <c r="K341" s="32">
        <v>46048</v>
      </c>
      <c r="L341" s="25">
        <v>6</v>
      </c>
    </row>
    <row r="342" spans="10:12">
      <c r="J342" s="39" t="s">
        <v>61</v>
      </c>
      <c r="K342" s="40">
        <v>46048</v>
      </c>
      <c r="L342" s="39">
        <v>19</v>
      </c>
    </row>
    <row r="343" spans="10:12">
      <c r="J343" s="25" t="s">
        <v>38</v>
      </c>
      <c r="K343" s="32">
        <v>46048</v>
      </c>
      <c r="L343" s="25">
        <v>7</v>
      </c>
    </row>
    <row r="344" spans="10:12">
      <c r="J344" s="39" t="s">
        <v>11</v>
      </c>
      <c r="K344" s="40">
        <v>46048</v>
      </c>
      <c r="L344" s="39">
        <v>17</v>
      </c>
    </row>
    <row r="345" spans="10:12">
      <c r="J345" s="25" t="s">
        <v>53</v>
      </c>
      <c r="K345" s="32">
        <v>46048</v>
      </c>
      <c r="L345" s="25">
        <v>20</v>
      </c>
    </row>
    <row r="346" spans="10:12">
      <c r="J346" s="39" t="s">
        <v>53</v>
      </c>
      <c r="K346" s="40">
        <v>46048</v>
      </c>
      <c r="L346" s="39">
        <v>12</v>
      </c>
    </row>
    <row r="347" spans="10:12">
      <c r="J347" s="25" t="s">
        <v>92</v>
      </c>
      <c r="K347" s="32">
        <v>46048</v>
      </c>
      <c r="L347" s="25">
        <v>1</v>
      </c>
    </row>
    <row r="348" spans="10:12">
      <c r="J348" s="39" t="s">
        <v>65</v>
      </c>
      <c r="K348" s="40">
        <v>46048</v>
      </c>
      <c r="L348" s="39">
        <v>15</v>
      </c>
    </row>
    <row r="349" spans="10:12">
      <c r="J349" s="25" t="s">
        <v>76</v>
      </c>
      <c r="K349" s="32">
        <v>46048</v>
      </c>
      <c r="L349" s="25">
        <v>1</v>
      </c>
    </row>
    <row r="350" spans="10:12">
      <c r="J350" s="39" t="s">
        <v>72</v>
      </c>
      <c r="K350" s="40">
        <v>46048</v>
      </c>
      <c r="L350" s="39">
        <v>8</v>
      </c>
    </row>
    <row r="351" spans="10:12">
      <c r="J351" s="25" t="s">
        <v>80</v>
      </c>
      <c r="K351" s="32">
        <v>46048</v>
      </c>
      <c r="L351" s="25">
        <v>10</v>
      </c>
    </row>
    <row r="352" spans="10:12">
      <c r="J352" s="39" t="s">
        <v>49</v>
      </c>
      <c r="K352" s="40">
        <v>46048</v>
      </c>
      <c r="L352" s="39">
        <v>5</v>
      </c>
    </row>
    <row r="353" spans="10:12">
      <c r="J353" s="25" t="s">
        <v>18</v>
      </c>
      <c r="K353" s="32">
        <v>46049</v>
      </c>
      <c r="L353" s="25">
        <v>17</v>
      </c>
    </row>
    <row r="354" spans="10:12">
      <c r="J354" s="39" t="s">
        <v>63</v>
      </c>
      <c r="K354" s="40">
        <v>46049</v>
      </c>
      <c r="L354" s="39">
        <v>3</v>
      </c>
    </row>
    <row r="355" spans="10:12">
      <c r="J355" s="25" t="s">
        <v>51</v>
      </c>
      <c r="K355" s="32">
        <v>46049</v>
      </c>
      <c r="L355" s="25">
        <v>5</v>
      </c>
    </row>
    <row r="356" spans="10:12">
      <c r="J356" s="39" t="s">
        <v>88</v>
      </c>
      <c r="K356" s="40">
        <v>46049</v>
      </c>
      <c r="L356" s="39">
        <v>16</v>
      </c>
    </row>
    <row r="357" spans="10:12">
      <c r="J357" s="25" t="s">
        <v>84</v>
      </c>
      <c r="K357" s="32">
        <v>46049</v>
      </c>
      <c r="L357" s="25">
        <v>10</v>
      </c>
    </row>
    <row r="358" spans="10:12">
      <c r="J358" s="39" t="s">
        <v>90</v>
      </c>
      <c r="K358" s="40">
        <v>46049</v>
      </c>
      <c r="L358" s="39">
        <v>3</v>
      </c>
    </row>
    <row r="359" spans="10:12">
      <c r="J359" s="25" t="s">
        <v>80</v>
      </c>
      <c r="K359" s="32">
        <v>46049</v>
      </c>
      <c r="L359" s="25">
        <v>4</v>
      </c>
    </row>
    <row r="360" spans="10:12">
      <c r="J360" s="39" t="s">
        <v>11</v>
      </c>
      <c r="K360" s="40">
        <v>46049</v>
      </c>
      <c r="L360" s="39">
        <v>22</v>
      </c>
    </row>
    <row r="361" spans="10:12">
      <c r="J361" s="25" t="s">
        <v>94</v>
      </c>
      <c r="K361" s="32">
        <v>46049</v>
      </c>
      <c r="L361" s="25">
        <v>2</v>
      </c>
    </row>
    <row r="362" spans="10:12">
      <c r="J362" s="39" t="s">
        <v>92</v>
      </c>
      <c r="K362" s="40">
        <v>46049</v>
      </c>
      <c r="L362" s="39">
        <v>13</v>
      </c>
    </row>
    <row r="363" spans="10:12">
      <c r="J363" s="25" t="s">
        <v>84</v>
      </c>
      <c r="K363" s="32">
        <v>46049</v>
      </c>
      <c r="L363" s="25">
        <v>18</v>
      </c>
    </row>
    <row r="364" spans="10:12">
      <c r="J364" s="39" t="s">
        <v>43</v>
      </c>
      <c r="K364" s="40">
        <v>46050</v>
      </c>
      <c r="L364" s="39">
        <v>6</v>
      </c>
    </row>
    <row r="365" spans="10:12">
      <c r="J365" s="25" t="s">
        <v>67</v>
      </c>
      <c r="K365" s="32">
        <v>46050</v>
      </c>
      <c r="L365" s="25">
        <v>9</v>
      </c>
    </row>
    <row r="366" spans="10:12">
      <c r="J366" s="39" t="s">
        <v>70</v>
      </c>
      <c r="K366" s="40">
        <v>46050</v>
      </c>
      <c r="L366" s="39">
        <v>6</v>
      </c>
    </row>
    <row r="367" spans="10:12">
      <c r="J367" s="25" t="s">
        <v>76</v>
      </c>
      <c r="K367" s="32">
        <v>46050</v>
      </c>
      <c r="L367" s="25">
        <v>5</v>
      </c>
    </row>
    <row r="368" spans="10:12">
      <c r="J368" s="39" t="s">
        <v>80</v>
      </c>
      <c r="K368" s="40">
        <v>46050</v>
      </c>
      <c r="L368" s="39">
        <v>3</v>
      </c>
    </row>
    <row r="369" spans="10:12">
      <c r="J369" s="25" t="s">
        <v>86</v>
      </c>
      <c r="K369" s="32">
        <v>46050</v>
      </c>
      <c r="L369" s="25">
        <v>5</v>
      </c>
    </row>
    <row r="370" spans="10:12">
      <c r="J370" s="39" t="s">
        <v>72</v>
      </c>
      <c r="K370" s="40">
        <v>46050</v>
      </c>
      <c r="L370" s="39">
        <v>23</v>
      </c>
    </row>
    <row r="371" spans="10:12">
      <c r="J371" s="25" t="s">
        <v>98</v>
      </c>
      <c r="K371" s="32">
        <v>46050</v>
      </c>
      <c r="L371" s="25">
        <v>1</v>
      </c>
    </row>
    <row r="372" spans="10:12">
      <c r="J372" s="39" t="s">
        <v>70</v>
      </c>
      <c r="K372" s="40">
        <v>46050</v>
      </c>
      <c r="L372" s="39">
        <v>20</v>
      </c>
    </row>
    <row r="373" spans="10:12">
      <c r="J373" s="25" t="s">
        <v>88</v>
      </c>
      <c r="K373" s="32">
        <v>46050</v>
      </c>
      <c r="L373" s="25">
        <v>2</v>
      </c>
    </row>
    <row r="374" spans="10:12">
      <c r="J374" s="39" t="s">
        <v>82</v>
      </c>
      <c r="K374" s="40">
        <v>46050</v>
      </c>
      <c r="L374" s="39">
        <v>19</v>
      </c>
    </row>
    <row r="375" spans="10:12">
      <c r="J375" s="25" t="s">
        <v>55</v>
      </c>
      <c r="K375" s="32">
        <v>46050</v>
      </c>
      <c r="L375" s="25">
        <v>10</v>
      </c>
    </row>
    <row r="376" spans="10:12">
      <c r="J376" s="39" t="s">
        <v>65</v>
      </c>
      <c r="K376" s="40">
        <v>46051</v>
      </c>
      <c r="L376" s="39">
        <v>2</v>
      </c>
    </row>
    <row r="377" spans="10:12">
      <c r="J377" s="25" t="s">
        <v>35</v>
      </c>
      <c r="K377" s="32">
        <v>46051</v>
      </c>
      <c r="L377" s="25">
        <v>7</v>
      </c>
    </row>
    <row r="378" spans="10:12">
      <c r="J378" s="39" t="s">
        <v>49</v>
      </c>
      <c r="K378" s="40">
        <v>46051</v>
      </c>
      <c r="L378" s="39">
        <v>20</v>
      </c>
    </row>
    <row r="379" spans="10:12">
      <c r="J379" s="25" t="s">
        <v>72</v>
      </c>
      <c r="K379" s="32">
        <v>46051</v>
      </c>
      <c r="L379" s="25">
        <v>2</v>
      </c>
    </row>
    <row r="380" spans="10:12">
      <c r="J380" s="39" t="s">
        <v>72</v>
      </c>
      <c r="K380" s="40">
        <v>46051</v>
      </c>
      <c r="L380" s="39">
        <v>19</v>
      </c>
    </row>
    <row r="381" spans="10:12">
      <c r="J381" s="25" t="s">
        <v>76</v>
      </c>
      <c r="K381" s="32">
        <v>46051</v>
      </c>
      <c r="L381" s="25">
        <v>7</v>
      </c>
    </row>
    <row r="382" spans="10:12">
      <c r="J382" s="39" t="s">
        <v>49</v>
      </c>
      <c r="K382" s="40">
        <v>46051</v>
      </c>
      <c r="L382" s="39">
        <v>11</v>
      </c>
    </row>
    <row r="383" spans="10:12">
      <c r="J383" s="25" t="s">
        <v>63</v>
      </c>
      <c r="K383" s="32">
        <v>46051</v>
      </c>
      <c r="L383" s="25">
        <v>13</v>
      </c>
    </row>
    <row r="384" spans="10:12">
      <c r="J384" s="39" t="s">
        <v>98</v>
      </c>
      <c r="K384" s="40">
        <v>46051</v>
      </c>
      <c r="L384" s="39">
        <v>19</v>
      </c>
    </row>
    <row r="385" spans="10:12">
      <c r="J385" s="25" t="s">
        <v>90</v>
      </c>
      <c r="K385" s="32">
        <v>46051</v>
      </c>
      <c r="L385" s="25">
        <v>6</v>
      </c>
    </row>
    <row r="386" spans="10:12">
      <c r="J386" s="39" t="s">
        <v>55</v>
      </c>
      <c r="K386" s="40">
        <v>46051</v>
      </c>
      <c r="L386" s="39">
        <v>11</v>
      </c>
    </row>
    <row r="387" spans="10:12">
      <c r="J387" s="25" t="s">
        <v>23</v>
      </c>
      <c r="K387" s="32">
        <v>46052</v>
      </c>
      <c r="L387" s="25">
        <v>3</v>
      </c>
    </row>
    <row r="388" spans="10:12">
      <c r="J388" s="39" t="s">
        <v>11</v>
      </c>
      <c r="K388" s="40">
        <v>46052</v>
      </c>
      <c r="L388" s="39">
        <v>1</v>
      </c>
    </row>
    <row r="389" spans="10:12">
      <c r="J389" s="25" t="s">
        <v>80</v>
      </c>
      <c r="K389" s="32">
        <v>46052</v>
      </c>
      <c r="L389" s="25">
        <v>3</v>
      </c>
    </row>
    <row r="390" spans="10:12">
      <c r="J390" s="39" t="s">
        <v>58</v>
      </c>
      <c r="K390" s="40">
        <v>46052</v>
      </c>
      <c r="L390" s="39">
        <v>8</v>
      </c>
    </row>
    <row r="391" spans="10:12">
      <c r="J391" s="25" t="s">
        <v>88</v>
      </c>
      <c r="K391" s="32">
        <v>46052</v>
      </c>
      <c r="L391" s="25">
        <v>5</v>
      </c>
    </row>
    <row r="392" spans="10:12">
      <c r="J392" s="39" t="s">
        <v>18</v>
      </c>
      <c r="K392" s="40">
        <v>46052</v>
      </c>
      <c r="L392" s="39">
        <v>23</v>
      </c>
    </row>
    <row r="393" spans="10:12">
      <c r="J393" s="25" t="s">
        <v>98</v>
      </c>
      <c r="K393" s="32">
        <v>46052</v>
      </c>
      <c r="L393" s="25">
        <v>27</v>
      </c>
    </row>
    <row r="394" spans="10:12">
      <c r="J394" s="39" t="s">
        <v>88</v>
      </c>
      <c r="K394" s="40">
        <v>46052</v>
      </c>
      <c r="L394" s="39">
        <v>1</v>
      </c>
    </row>
    <row r="395" spans="10:12">
      <c r="J395" s="25" t="s">
        <v>98</v>
      </c>
      <c r="K395" s="32">
        <v>46052</v>
      </c>
      <c r="L395" s="25">
        <v>19</v>
      </c>
    </row>
    <row r="396" spans="10:12">
      <c r="J396" s="39" t="s">
        <v>40</v>
      </c>
      <c r="K396" s="40">
        <v>46052</v>
      </c>
      <c r="L396" s="39">
        <v>18</v>
      </c>
    </row>
    <row r="397" spans="10:12">
      <c r="J397" s="25" t="s">
        <v>70</v>
      </c>
      <c r="K397" s="32">
        <v>46052</v>
      </c>
      <c r="L397" s="25">
        <v>2</v>
      </c>
    </row>
    <row r="398" spans="10:12">
      <c r="J398" s="39" t="s">
        <v>18</v>
      </c>
      <c r="K398" s="40">
        <v>46053</v>
      </c>
      <c r="L398" s="39">
        <v>14</v>
      </c>
    </row>
    <row r="399" spans="10:12">
      <c r="J399" s="25" t="s">
        <v>98</v>
      </c>
      <c r="K399" s="32">
        <v>46053</v>
      </c>
      <c r="L399" s="25">
        <v>2</v>
      </c>
    </row>
    <row r="400" spans="10:12">
      <c r="J400" s="39" t="s">
        <v>35</v>
      </c>
      <c r="K400" s="40">
        <v>46053</v>
      </c>
      <c r="L400" s="39">
        <v>28</v>
      </c>
    </row>
    <row r="401" spans="10:12">
      <c r="J401" s="25" t="s">
        <v>61</v>
      </c>
      <c r="K401" s="32">
        <v>46053</v>
      </c>
      <c r="L401" s="25">
        <v>7</v>
      </c>
    </row>
    <row r="402" spans="10:12">
      <c r="J402" s="39" t="s">
        <v>63</v>
      </c>
      <c r="K402" s="40">
        <v>46053</v>
      </c>
      <c r="L402" s="39">
        <v>9</v>
      </c>
    </row>
    <row r="403" spans="10:12">
      <c r="J403" s="25" t="s">
        <v>31</v>
      </c>
      <c r="K403" s="32">
        <v>46053</v>
      </c>
      <c r="L403" s="25">
        <v>4</v>
      </c>
    </row>
    <row r="404" spans="10:12">
      <c r="J404" s="39" t="s">
        <v>96</v>
      </c>
      <c r="K404" s="40">
        <v>46053</v>
      </c>
      <c r="L404" s="39">
        <v>10</v>
      </c>
    </row>
    <row r="405" spans="10:12">
      <c r="J405" s="25" t="s">
        <v>94</v>
      </c>
      <c r="K405" s="32">
        <v>46053</v>
      </c>
      <c r="L405" s="25">
        <v>3</v>
      </c>
    </row>
    <row r="406" spans="10:12">
      <c r="J406" s="39" t="s">
        <v>70</v>
      </c>
      <c r="K406" s="40">
        <v>46053</v>
      </c>
      <c r="L406" s="39">
        <v>8</v>
      </c>
    </row>
    <row r="407" spans="10:12">
      <c r="J407" s="25" t="s">
        <v>23</v>
      </c>
      <c r="K407" s="32">
        <v>46053</v>
      </c>
      <c r="L407" s="25">
        <v>6</v>
      </c>
    </row>
    <row r="408" spans="10:12">
      <c r="J408" s="39" t="s">
        <v>100</v>
      </c>
      <c r="K408" s="40">
        <v>46053</v>
      </c>
      <c r="L408" s="39">
        <v>11</v>
      </c>
    </row>
    <row r="409" spans="10:12">
      <c r="J409" s="25" t="s">
        <v>96</v>
      </c>
      <c r="K409" s="32">
        <v>46053</v>
      </c>
      <c r="L409" s="25">
        <v>1</v>
      </c>
    </row>
    <row r="410" spans="10:12">
      <c r="J410" s="39" t="s">
        <v>38</v>
      </c>
      <c r="K410" s="40">
        <v>46054</v>
      </c>
      <c r="L410" s="39">
        <v>1</v>
      </c>
    </row>
    <row r="411" spans="10:12">
      <c r="J411" s="25" t="s">
        <v>58</v>
      </c>
      <c r="K411" s="32">
        <v>46054</v>
      </c>
      <c r="L411" s="25">
        <v>1</v>
      </c>
    </row>
    <row r="412" spans="10:12">
      <c r="J412" s="39" t="s">
        <v>67</v>
      </c>
      <c r="K412" s="40">
        <v>46054</v>
      </c>
      <c r="L412" s="39">
        <v>6</v>
      </c>
    </row>
    <row r="413" spans="10:12">
      <c r="J413" s="25" t="s">
        <v>67</v>
      </c>
      <c r="K413" s="32">
        <v>46054</v>
      </c>
      <c r="L413" s="25">
        <v>9</v>
      </c>
    </row>
    <row r="414" spans="10:12">
      <c r="J414" s="39" t="s">
        <v>65</v>
      </c>
      <c r="K414" s="40">
        <v>46054</v>
      </c>
      <c r="L414" s="39">
        <v>7</v>
      </c>
    </row>
    <row r="415" spans="10:12">
      <c r="J415" s="25" t="s">
        <v>63</v>
      </c>
      <c r="K415" s="32">
        <v>46054</v>
      </c>
      <c r="L415" s="25">
        <v>6</v>
      </c>
    </row>
    <row r="416" spans="10:12">
      <c r="J416" s="39" t="s">
        <v>35</v>
      </c>
      <c r="K416" s="40">
        <v>46054</v>
      </c>
      <c r="L416" s="39">
        <v>7</v>
      </c>
    </row>
    <row r="417" spans="10:12">
      <c r="J417" s="25" t="s">
        <v>92</v>
      </c>
      <c r="K417" s="32">
        <v>46054</v>
      </c>
      <c r="L417" s="25">
        <v>4</v>
      </c>
    </row>
    <row r="418" spans="10:12">
      <c r="J418" s="39" t="s">
        <v>92</v>
      </c>
      <c r="K418" s="40">
        <v>46054</v>
      </c>
      <c r="L418" s="39">
        <v>13</v>
      </c>
    </row>
    <row r="419" spans="10:12">
      <c r="J419" s="25" t="s">
        <v>28</v>
      </c>
      <c r="K419" s="32">
        <v>46054</v>
      </c>
      <c r="L419" s="25">
        <v>19</v>
      </c>
    </row>
    <row r="420" spans="10:12">
      <c r="J420" s="39" t="s">
        <v>96</v>
      </c>
      <c r="K420" s="40">
        <v>46054</v>
      </c>
      <c r="L420" s="39">
        <v>3</v>
      </c>
    </row>
    <row r="421" spans="10:12">
      <c r="J421" s="25" t="s">
        <v>11</v>
      </c>
      <c r="K421" s="32">
        <v>46054</v>
      </c>
      <c r="L421" s="25">
        <v>18</v>
      </c>
    </row>
    <row r="422" spans="10:12">
      <c r="J422" s="39" t="s">
        <v>40</v>
      </c>
      <c r="K422" s="40">
        <v>46054</v>
      </c>
      <c r="L422" s="39">
        <v>22</v>
      </c>
    </row>
    <row r="423" spans="10:12">
      <c r="J423" s="25" t="s">
        <v>76</v>
      </c>
      <c r="K423" s="32">
        <v>46054</v>
      </c>
      <c r="L423" s="25">
        <v>2</v>
      </c>
    </row>
    <row r="424" spans="10:12">
      <c r="J424" s="39" t="s">
        <v>40</v>
      </c>
      <c r="K424" s="40">
        <v>46054</v>
      </c>
      <c r="L424" s="39">
        <v>5</v>
      </c>
    </row>
    <row r="425" spans="10:12">
      <c r="J425" s="25" t="s">
        <v>65</v>
      </c>
      <c r="K425" s="32">
        <v>46054</v>
      </c>
      <c r="L425" s="25">
        <v>16</v>
      </c>
    </row>
    <row r="426" spans="10:12">
      <c r="J426" s="39" t="s">
        <v>100</v>
      </c>
      <c r="K426" s="40">
        <v>46054</v>
      </c>
      <c r="L426" s="39">
        <v>15</v>
      </c>
    </row>
    <row r="427" spans="10:12">
      <c r="J427" s="25" t="s">
        <v>86</v>
      </c>
      <c r="K427" s="32">
        <v>46054</v>
      </c>
      <c r="L427" s="25">
        <v>5</v>
      </c>
    </row>
    <row r="428" spans="10:12">
      <c r="J428" s="39" t="s">
        <v>28</v>
      </c>
      <c r="K428" s="40">
        <v>46054</v>
      </c>
      <c r="L428" s="39">
        <v>8</v>
      </c>
    </row>
    <row r="429" spans="10:12">
      <c r="J429" s="25" t="s">
        <v>70</v>
      </c>
      <c r="K429" s="32">
        <v>46054</v>
      </c>
      <c r="L429" s="25">
        <v>15</v>
      </c>
    </row>
    <row r="430" spans="10:12">
      <c r="J430" s="39" t="s">
        <v>94</v>
      </c>
      <c r="K430" s="40">
        <v>46055</v>
      </c>
      <c r="L430" s="39">
        <v>3</v>
      </c>
    </row>
    <row r="431" spans="10:12">
      <c r="J431" s="25" t="s">
        <v>86</v>
      </c>
      <c r="K431" s="32">
        <v>46055</v>
      </c>
      <c r="L431" s="25">
        <v>10</v>
      </c>
    </row>
    <row r="432" spans="10:12">
      <c r="J432" s="39" t="s">
        <v>76</v>
      </c>
      <c r="K432" s="40">
        <v>46055</v>
      </c>
      <c r="L432" s="39">
        <v>4</v>
      </c>
    </row>
    <row r="433" spans="10:12">
      <c r="J433" s="25" t="s">
        <v>38</v>
      </c>
      <c r="K433" s="32">
        <v>46055</v>
      </c>
      <c r="L433" s="25">
        <v>9</v>
      </c>
    </row>
    <row r="434" spans="10:12">
      <c r="J434" s="39" t="s">
        <v>86</v>
      </c>
      <c r="K434" s="40">
        <v>46055</v>
      </c>
      <c r="L434" s="39">
        <v>4</v>
      </c>
    </row>
    <row r="435" spans="10:12">
      <c r="J435" s="25" t="s">
        <v>43</v>
      </c>
      <c r="K435" s="32">
        <v>46055</v>
      </c>
      <c r="L435" s="25">
        <v>6</v>
      </c>
    </row>
    <row r="436" spans="10:12">
      <c r="J436" s="39" t="s">
        <v>11</v>
      </c>
      <c r="K436" s="40">
        <v>46055</v>
      </c>
      <c r="L436" s="39">
        <v>8</v>
      </c>
    </row>
    <row r="437" spans="10:12">
      <c r="J437" s="25" t="s">
        <v>74</v>
      </c>
      <c r="K437" s="32">
        <v>46055</v>
      </c>
      <c r="L437" s="25">
        <v>1</v>
      </c>
    </row>
    <row r="438" spans="10:12">
      <c r="J438" s="39" t="s">
        <v>82</v>
      </c>
      <c r="K438" s="40">
        <v>46055</v>
      </c>
      <c r="L438" s="39">
        <v>11</v>
      </c>
    </row>
    <row r="439" spans="10:12">
      <c r="J439" s="25" t="s">
        <v>49</v>
      </c>
      <c r="K439" s="32">
        <v>46055</v>
      </c>
      <c r="L439" s="25">
        <v>9</v>
      </c>
    </row>
    <row r="440" spans="10:12">
      <c r="J440" s="39" t="s">
        <v>31</v>
      </c>
      <c r="K440" s="40">
        <v>46055</v>
      </c>
      <c r="L440" s="39">
        <v>22</v>
      </c>
    </row>
    <row r="441" spans="10:12">
      <c r="J441" s="25" t="s">
        <v>98</v>
      </c>
      <c r="K441" s="32">
        <v>46056</v>
      </c>
      <c r="L441" s="25">
        <v>21</v>
      </c>
    </row>
    <row r="442" spans="10:12">
      <c r="J442" s="39" t="s">
        <v>63</v>
      </c>
      <c r="K442" s="40">
        <v>46056</v>
      </c>
      <c r="L442" s="39">
        <v>10</v>
      </c>
    </row>
    <row r="443" spans="10:12">
      <c r="J443" s="25" t="s">
        <v>11</v>
      </c>
      <c r="K443" s="32">
        <v>46056</v>
      </c>
      <c r="L443" s="25">
        <v>1</v>
      </c>
    </row>
    <row r="444" spans="10:12">
      <c r="J444" s="39" t="s">
        <v>86</v>
      </c>
      <c r="K444" s="40">
        <v>46056</v>
      </c>
      <c r="L444" s="39">
        <v>23</v>
      </c>
    </row>
    <row r="445" spans="10:12">
      <c r="J445" s="25" t="s">
        <v>74</v>
      </c>
      <c r="K445" s="32">
        <v>46056</v>
      </c>
      <c r="L445" s="25">
        <v>13</v>
      </c>
    </row>
    <row r="446" spans="10:12">
      <c r="J446" s="39" t="s">
        <v>38</v>
      </c>
      <c r="K446" s="40">
        <v>46056</v>
      </c>
      <c r="L446" s="39">
        <v>3</v>
      </c>
    </row>
    <row r="447" spans="10:12">
      <c r="J447" s="25" t="s">
        <v>38</v>
      </c>
      <c r="K447" s="32">
        <v>46056</v>
      </c>
      <c r="L447" s="25">
        <v>20</v>
      </c>
    </row>
    <row r="448" spans="10:12">
      <c r="J448" s="39" t="s">
        <v>53</v>
      </c>
      <c r="K448" s="40">
        <v>46056</v>
      </c>
      <c r="L448" s="39">
        <v>11</v>
      </c>
    </row>
    <row r="449" spans="10:12">
      <c r="J449" s="25" t="s">
        <v>40</v>
      </c>
      <c r="K449" s="32">
        <v>46056</v>
      </c>
      <c r="L449" s="25">
        <v>1</v>
      </c>
    </row>
    <row r="450" spans="10:12">
      <c r="J450" s="39" t="s">
        <v>31</v>
      </c>
      <c r="K450" s="40">
        <v>46056</v>
      </c>
      <c r="L450" s="39">
        <v>1</v>
      </c>
    </row>
    <row r="451" spans="10:12">
      <c r="J451" s="25" t="s">
        <v>18</v>
      </c>
      <c r="K451" s="32">
        <v>46056</v>
      </c>
      <c r="L451" s="25">
        <v>10</v>
      </c>
    </row>
    <row r="452" spans="10:12">
      <c r="J452" s="39" t="s">
        <v>84</v>
      </c>
      <c r="K452" s="40">
        <v>46056</v>
      </c>
      <c r="L452" s="39">
        <v>3</v>
      </c>
    </row>
    <row r="453" spans="10:12">
      <c r="J453" s="25" t="s">
        <v>58</v>
      </c>
      <c r="K453" s="32">
        <v>46056</v>
      </c>
      <c r="L453" s="25">
        <v>7</v>
      </c>
    </row>
    <row r="454" spans="10:12">
      <c r="J454" s="39" t="s">
        <v>63</v>
      </c>
      <c r="K454" s="40">
        <v>46056</v>
      </c>
      <c r="L454" s="39">
        <v>3</v>
      </c>
    </row>
    <row r="455" spans="10:12">
      <c r="J455" s="25" t="s">
        <v>46</v>
      </c>
      <c r="K455" s="32">
        <v>46056</v>
      </c>
      <c r="L455" s="25">
        <v>8</v>
      </c>
    </row>
    <row r="456" spans="10:12">
      <c r="J456" s="39" t="s">
        <v>46</v>
      </c>
      <c r="K456" s="40">
        <v>46056</v>
      </c>
      <c r="L456" s="39">
        <v>9</v>
      </c>
    </row>
    <row r="457" spans="10:12">
      <c r="J457" s="25" t="s">
        <v>58</v>
      </c>
      <c r="K457" s="32">
        <v>46056</v>
      </c>
      <c r="L457" s="25">
        <v>14</v>
      </c>
    </row>
    <row r="458" spans="10:12">
      <c r="J458" s="39" t="s">
        <v>31</v>
      </c>
      <c r="K458" s="40">
        <v>46056</v>
      </c>
      <c r="L458" s="39">
        <v>15</v>
      </c>
    </row>
    <row r="459" spans="10:12">
      <c r="J459" s="25" t="s">
        <v>18</v>
      </c>
      <c r="K459" s="32">
        <v>46056</v>
      </c>
      <c r="L459" s="25">
        <v>20</v>
      </c>
    </row>
    <row r="460" spans="10:12">
      <c r="J460" s="39" t="s">
        <v>35</v>
      </c>
      <c r="K460" s="40">
        <v>46057</v>
      </c>
      <c r="L460" s="39">
        <v>6</v>
      </c>
    </row>
    <row r="461" spans="10:12">
      <c r="J461" s="25" t="s">
        <v>49</v>
      </c>
      <c r="K461" s="32">
        <v>46057</v>
      </c>
      <c r="L461" s="25">
        <v>3</v>
      </c>
    </row>
    <row r="462" spans="10:12">
      <c r="J462" s="39" t="s">
        <v>88</v>
      </c>
      <c r="K462" s="40">
        <v>46057</v>
      </c>
      <c r="L462" s="39">
        <v>28</v>
      </c>
    </row>
    <row r="463" spans="10:12">
      <c r="J463" s="25" t="s">
        <v>51</v>
      </c>
      <c r="K463" s="32">
        <v>46057</v>
      </c>
      <c r="L463" s="25">
        <v>8</v>
      </c>
    </row>
    <row r="464" spans="10:12">
      <c r="J464" s="39" t="s">
        <v>74</v>
      </c>
      <c r="K464" s="40">
        <v>46057</v>
      </c>
      <c r="L464" s="39">
        <v>7</v>
      </c>
    </row>
    <row r="465" spans="10:12">
      <c r="J465" s="25" t="s">
        <v>63</v>
      </c>
      <c r="K465" s="32">
        <v>46057</v>
      </c>
      <c r="L465" s="25">
        <v>11</v>
      </c>
    </row>
    <row r="466" spans="10:12">
      <c r="J466" s="39" t="s">
        <v>98</v>
      </c>
      <c r="K466" s="40">
        <v>46057</v>
      </c>
      <c r="L466" s="39">
        <v>6</v>
      </c>
    </row>
    <row r="467" spans="10:12">
      <c r="J467" s="25" t="s">
        <v>58</v>
      </c>
      <c r="K467" s="32">
        <v>46057</v>
      </c>
      <c r="L467" s="25">
        <v>6</v>
      </c>
    </row>
    <row r="468" spans="10:12">
      <c r="J468" s="39" t="s">
        <v>80</v>
      </c>
      <c r="K468" s="40">
        <v>46057</v>
      </c>
      <c r="L468" s="39">
        <v>11</v>
      </c>
    </row>
    <row r="469" spans="10:12">
      <c r="J469" s="25" t="s">
        <v>92</v>
      </c>
      <c r="K469" s="32">
        <v>46057</v>
      </c>
      <c r="L469" s="25">
        <v>3</v>
      </c>
    </row>
    <row r="470" spans="10:12">
      <c r="J470" s="39" t="s">
        <v>38</v>
      </c>
      <c r="K470" s="40">
        <v>46057</v>
      </c>
      <c r="L470" s="39">
        <v>6</v>
      </c>
    </row>
    <row r="471" spans="10:12">
      <c r="J471" s="25" t="s">
        <v>98</v>
      </c>
      <c r="K471" s="32">
        <v>46057</v>
      </c>
      <c r="L471" s="25">
        <v>11</v>
      </c>
    </row>
    <row r="472" spans="10:12">
      <c r="J472" s="39" t="s">
        <v>86</v>
      </c>
      <c r="K472" s="40">
        <v>46057</v>
      </c>
      <c r="L472" s="39">
        <v>9</v>
      </c>
    </row>
    <row r="473" spans="10:12">
      <c r="J473" s="25" t="s">
        <v>53</v>
      </c>
      <c r="K473" s="32">
        <v>46057</v>
      </c>
      <c r="L473" s="25">
        <v>3</v>
      </c>
    </row>
    <row r="474" spans="10:12">
      <c r="J474" s="39" t="s">
        <v>23</v>
      </c>
      <c r="K474" s="40">
        <v>46057</v>
      </c>
      <c r="L474" s="39">
        <v>6</v>
      </c>
    </row>
    <row r="475" spans="10:12">
      <c r="J475" s="25" t="s">
        <v>70</v>
      </c>
      <c r="K475" s="32">
        <v>46057</v>
      </c>
      <c r="L475" s="25">
        <v>2</v>
      </c>
    </row>
    <row r="476" spans="10:12">
      <c r="J476" s="39" t="s">
        <v>70</v>
      </c>
      <c r="K476" s="40">
        <v>46057</v>
      </c>
      <c r="L476" s="39">
        <v>12</v>
      </c>
    </row>
    <row r="477" spans="10:12">
      <c r="J477" s="25" t="s">
        <v>94</v>
      </c>
      <c r="K477" s="32">
        <v>46057</v>
      </c>
      <c r="L477" s="25">
        <v>22</v>
      </c>
    </row>
    <row r="478" spans="10:12">
      <c r="J478" s="39" t="s">
        <v>74</v>
      </c>
      <c r="K478" s="40">
        <v>46057</v>
      </c>
      <c r="L478" s="39">
        <v>25</v>
      </c>
    </row>
    <row r="479" spans="10:12">
      <c r="J479" s="25" t="s">
        <v>18</v>
      </c>
      <c r="K479" s="32">
        <v>46058</v>
      </c>
      <c r="L479" s="25">
        <v>3</v>
      </c>
    </row>
    <row r="480" spans="10:12">
      <c r="J480" s="39" t="s">
        <v>58</v>
      </c>
      <c r="K480" s="40">
        <v>46058</v>
      </c>
      <c r="L480" s="39">
        <v>7</v>
      </c>
    </row>
    <row r="481" spans="10:12">
      <c r="J481" s="25" t="s">
        <v>61</v>
      </c>
      <c r="K481" s="32">
        <v>46058</v>
      </c>
      <c r="L481" s="25">
        <v>5</v>
      </c>
    </row>
    <row r="482" spans="10:12">
      <c r="J482" s="39" t="s">
        <v>74</v>
      </c>
      <c r="K482" s="40">
        <v>46058</v>
      </c>
      <c r="L482" s="39">
        <v>20</v>
      </c>
    </row>
    <row r="483" spans="10:12">
      <c r="J483" s="25" t="s">
        <v>11</v>
      </c>
      <c r="K483" s="32">
        <v>46058</v>
      </c>
      <c r="L483" s="25">
        <v>7</v>
      </c>
    </row>
    <row r="484" spans="10:12">
      <c r="J484" s="39" t="s">
        <v>82</v>
      </c>
      <c r="K484" s="40">
        <v>46058</v>
      </c>
      <c r="L484" s="39">
        <v>5</v>
      </c>
    </row>
    <row r="485" spans="10:12">
      <c r="J485" s="25" t="s">
        <v>35</v>
      </c>
      <c r="K485" s="32">
        <v>46058</v>
      </c>
      <c r="L485" s="25">
        <v>12</v>
      </c>
    </row>
    <row r="486" spans="10:12">
      <c r="J486" s="39" t="s">
        <v>11</v>
      </c>
      <c r="K486" s="40">
        <v>46058</v>
      </c>
      <c r="L486" s="39">
        <v>11</v>
      </c>
    </row>
    <row r="487" spans="10:12">
      <c r="J487" s="25" t="s">
        <v>80</v>
      </c>
      <c r="K487" s="32">
        <v>46058</v>
      </c>
      <c r="L487" s="25">
        <v>3</v>
      </c>
    </row>
    <row r="488" spans="10:12">
      <c r="J488" s="39" t="s">
        <v>82</v>
      </c>
      <c r="K488" s="40">
        <v>46058</v>
      </c>
      <c r="L488" s="39">
        <v>1</v>
      </c>
    </row>
    <row r="489" spans="10:12">
      <c r="J489" s="25" t="s">
        <v>40</v>
      </c>
      <c r="K489" s="32">
        <v>46058</v>
      </c>
      <c r="L489" s="25">
        <v>9</v>
      </c>
    </row>
    <row r="490" spans="10:12">
      <c r="J490" s="39" t="s">
        <v>28</v>
      </c>
      <c r="K490" s="40">
        <v>46058</v>
      </c>
      <c r="L490" s="39">
        <v>11</v>
      </c>
    </row>
    <row r="491" spans="10:12">
      <c r="J491" s="25" t="s">
        <v>40</v>
      </c>
      <c r="K491" s="32">
        <v>46058</v>
      </c>
      <c r="L491" s="25">
        <v>9</v>
      </c>
    </row>
    <row r="492" spans="10:12">
      <c r="J492" s="39" t="s">
        <v>86</v>
      </c>
      <c r="K492" s="40">
        <v>46058</v>
      </c>
      <c r="L492" s="39">
        <v>11</v>
      </c>
    </row>
    <row r="493" spans="10:12">
      <c r="J493" s="25" t="s">
        <v>51</v>
      </c>
      <c r="K493" s="32">
        <v>46058</v>
      </c>
      <c r="L493" s="25">
        <v>12</v>
      </c>
    </row>
    <row r="494" spans="10:12">
      <c r="J494" s="39" t="s">
        <v>100</v>
      </c>
      <c r="K494" s="40">
        <v>46059</v>
      </c>
      <c r="L494" s="39">
        <v>3</v>
      </c>
    </row>
    <row r="495" spans="10:12">
      <c r="J495" s="25" t="s">
        <v>63</v>
      </c>
      <c r="K495" s="32">
        <v>46059</v>
      </c>
      <c r="L495" s="25">
        <v>14</v>
      </c>
    </row>
    <row r="496" spans="10:12">
      <c r="J496" s="39" t="s">
        <v>38</v>
      </c>
      <c r="K496" s="40">
        <v>46059</v>
      </c>
      <c r="L496" s="39">
        <v>4</v>
      </c>
    </row>
    <row r="497" spans="10:12">
      <c r="J497" s="25" t="s">
        <v>28</v>
      </c>
      <c r="K497" s="32">
        <v>46059</v>
      </c>
      <c r="L497" s="25">
        <v>2</v>
      </c>
    </row>
    <row r="498" spans="10:12">
      <c r="J498" s="39" t="s">
        <v>78</v>
      </c>
      <c r="K498" s="40">
        <v>46059</v>
      </c>
      <c r="L498" s="39">
        <v>9</v>
      </c>
    </row>
    <row r="499" spans="10:12">
      <c r="J499" s="25" t="s">
        <v>53</v>
      </c>
      <c r="K499" s="32">
        <v>46059</v>
      </c>
      <c r="L499" s="25">
        <v>6</v>
      </c>
    </row>
    <row r="500" spans="10:12">
      <c r="J500" s="39" t="s">
        <v>28</v>
      </c>
      <c r="K500" s="40">
        <v>46059</v>
      </c>
      <c r="L500" s="39">
        <v>2</v>
      </c>
    </row>
    <row r="501" spans="10:12">
      <c r="J501" s="25" t="s">
        <v>11</v>
      </c>
      <c r="K501" s="32">
        <v>46059</v>
      </c>
      <c r="L501" s="25">
        <v>1</v>
      </c>
    </row>
    <row r="502" spans="10:12">
      <c r="J502" s="39" t="s">
        <v>55</v>
      </c>
      <c r="K502" s="40">
        <v>46059</v>
      </c>
      <c r="L502" s="39">
        <v>16</v>
      </c>
    </row>
    <row r="503" spans="10:12">
      <c r="J503" s="25" t="s">
        <v>51</v>
      </c>
      <c r="K503" s="32">
        <v>46059</v>
      </c>
      <c r="L503" s="25">
        <v>1</v>
      </c>
    </row>
    <row r="504" spans="10:12">
      <c r="J504" s="39" t="s">
        <v>86</v>
      </c>
      <c r="K504" s="40">
        <v>46059</v>
      </c>
      <c r="L504" s="39">
        <v>12</v>
      </c>
    </row>
    <row r="505" spans="10:12">
      <c r="J505" s="25" t="s">
        <v>31</v>
      </c>
      <c r="K505" s="32">
        <v>46059</v>
      </c>
      <c r="L505" s="25">
        <v>8</v>
      </c>
    </row>
    <row r="506" spans="10:12">
      <c r="J506" s="39" t="s">
        <v>31</v>
      </c>
      <c r="K506" s="40">
        <v>46059</v>
      </c>
      <c r="L506" s="39">
        <v>2</v>
      </c>
    </row>
    <row r="507" spans="10:12">
      <c r="J507" s="25" t="s">
        <v>28</v>
      </c>
      <c r="K507" s="32">
        <v>46059</v>
      </c>
      <c r="L507" s="25">
        <v>3</v>
      </c>
    </row>
    <row r="508" spans="10:12">
      <c r="J508" s="39" t="s">
        <v>18</v>
      </c>
      <c r="K508" s="40">
        <v>46059</v>
      </c>
      <c r="L508" s="39">
        <v>21</v>
      </c>
    </row>
    <row r="509" spans="10:12">
      <c r="J509" s="25" t="s">
        <v>18</v>
      </c>
      <c r="K509" s="32">
        <v>46060</v>
      </c>
      <c r="L509" s="25">
        <v>10</v>
      </c>
    </row>
    <row r="510" spans="10:12">
      <c r="J510" s="39" t="s">
        <v>78</v>
      </c>
      <c r="K510" s="40">
        <v>46060</v>
      </c>
      <c r="L510" s="39">
        <v>4</v>
      </c>
    </row>
    <row r="511" spans="10:12">
      <c r="J511" s="25" t="s">
        <v>72</v>
      </c>
      <c r="K511" s="32">
        <v>46060</v>
      </c>
      <c r="L511" s="25">
        <v>3</v>
      </c>
    </row>
    <row r="512" spans="10:12">
      <c r="J512" s="39" t="s">
        <v>90</v>
      </c>
      <c r="K512" s="40">
        <v>46060</v>
      </c>
      <c r="L512" s="39">
        <v>21</v>
      </c>
    </row>
    <row r="513" spans="10:12">
      <c r="J513" s="25" t="s">
        <v>98</v>
      </c>
      <c r="K513" s="32">
        <v>46060</v>
      </c>
      <c r="L513" s="25">
        <v>1</v>
      </c>
    </row>
    <row r="514" spans="10:12">
      <c r="J514" s="39" t="s">
        <v>74</v>
      </c>
      <c r="K514" s="40">
        <v>46060</v>
      </c>
      <c r="L514" s="39">
        <v>7</v>
      </c>
    </row>
    <row r="515" spans="10:12">
      <c r="J515" s="25" t="s">
        <v>78</v>
      </c>
      <c r="K515" s="32">
        <v>46060</v>
      </c>
      <c r="L515" s="25">
        <v>20</v>
      </c>
    </row>
    <row r="516" spans="10:12">
      <c r="J516" s="39" t="s">
        <v>74</v>
      </c>
      <c r="K516" s="40">
        <v>46060</v>
      </c>
      <c r="L516" s="39">
        <v>3</v>
      </c>
    </row>
    <row r="517" spans="10:12">
      <c r="J517" s="25" t="s">
        <v>18</v>
      </c>
      <c r="K517" s="32">
        <v>46060</v>
      </c>
      <c r="L517" s="25">
        <v>5</v>
      </c>
    </row>
    <row r="518" spans="10:12">
      <c r="J518" s="39" t="s">
        <v>70</v>
      </c>
      <c r="K518" s="40">
        <v>46060</v>
      </c>
      <c r="L518" s="39">
        <v>4</v>
      </c>
    </row>
    <row r="519" spans="10:12">
      <c r="J519" s="25" t="s">
        <v>86</v>
      </c>
      <c r="K519" s="32">
        <v>46060</v>
      </c>
      <c r="L519" s="25">
        <v>7</v>
      </c>
    </row>
    <row r="520" spans="10:12">
      <c r="J520" s="39" t="s">
        <v>98</v>
      </c>
      <c r="K520" s="40">
        <v>46060</v>
      </c>
      <c r="L520" s="39">
        <v>18</v>
      </c>
    </row>
    <row r="521" spans="10:12">
      <c r="J521" s="25" t="s">
        <v>49</v>
      </c>
      <c r="K521" s="32">
        <v>46060</v>
      </c>
      <c r="L521" s="25">
        <v>5</v>
      </c>
    </row>
    <row r="522" spans="10:12">
      <c r="J522" s="39" t="s">
        <v>98</v>
      </c>
      <c r="K522" s="40">
        <v>46060</v>
      </c>
      <c r="L522" s="39">
        <v>5</v>
      </c>
    </row>
    <row r="523" spans="10:12">
      <c r="J523" s="25" t="s">
        <v>90</v>
      </c>
      <c r="K523" s="32">
        <v>46060</v>
      </c>
      <c r="L523" s="25">
        <v>21</v>
      </c>
    </row>
    <row r="524" spans="10:12">
      <c r="J524" s="39" t="s">
        <v>38</v>
      </c>
      <c r="K524" s="40">
        <v>46060</v>
      </c>
      <c r="L524" s="39">
        <v>8</v>
      </c>
    </row>
    <row r="525" spans="10:12">
      <c r="J525" s="25" t="s">
        <v>51</v>
      </c>
      <c r="K525" s="32">
        <v>46060</v>
      </c>
      <c r="L525" s="25">
        <v>19</v>
      </c>
    </row>
    <row r="526" spans="10:12">
      <c r="J526" s="39" t="s">
        <v>94</v>
      </c>
      <c r="K526" s="40">
        <v>46060</v>
      </c>
      <c r="L526" s="39">
        <v>3</v>
      </c>
    </row>
    <row r="527" spans="10:12">
      <c r="J527" s="25" t="s">
        <v>46</v>
      </c>
      <c r="K527" s="32">
        <v>46060</v>
      </c>
      <c r="L527" s="25">
        <v>7</v>
      </c>
    </row>
    <row r="528" spans="10:12">
      <c r="J528" s="39" t="s">
        <v>80</v>
      </c>
      <c r="K528" s="40">
        <v>46060</v>
      </c>
      <c r="L528" s="39">
        <v>1</v>
      </c>
    </row>
    <row r="529" spans="10:12">
      <c r="J529" s="25" t="s">
        <v>86</v>
      </c>
      <c r="K529" s="32">
        <v>46061</v>
      </c>
      <c r="L529" s="25">
        <v>8</v>
      </c>
    </row>
    <row r="530" spans="10:12">
      <c r="J530" s="39" t="s">
        <v>51</v>
      </c>
      <c r="K530" s="40">
        <v>46061</v>
      </c>
      <c r="L530" s="39">
        <v>5</v>
      </c>
    </row>
    <row r="531" spans="10:12">
      <c r="J531" s="25" t="s">
        <v>88</v>
      </c>
      <c r="K531" s="32">
        <v>46061</v>
      </c>
      <c r="L531" s="25">
        <v>6</v>
      </c>
    </row>
    <row r="532" spans="10:12">
      <c r="J532" s="39" t="s">
        <v>82</v>
      </c>
      <c r="K532" s="40">
        <v>46061</v>
      </c>
      <c r="L532" s="39">
        <v>11</v>
      </c>
    </row>
    <row r="533" spans="10:12">
      <c r="J533" s="25" t="s">
        <v>40</v>
      </c>
      <c r="K533" s="32">
        <v>46061</v>
      </c>
      <c r="L533" s="25">
        <v>19</v>
      </c>
    </row>
    <row r="534" spans="10:12">
      <c r="J534" s="39" t="s">
        <v>53</v>
      </c>
      <c r="K534" s="40">
        <v>46061</v>
      </c>
      <c r="L534" s="39">
        <v>11</v>
      </c>
    </row>
    <row r="535" spans="10:12">
      <c r="J535" s="25" t="s">
        <v>46</v>
      </c>
      <c r="K535" s="32">
        <v>46061</v>
      </c>
      <c r="L535" s="25">
        <v>12</v>
      </c>
    </row>
    <row r="536" spans="10:12">
      <c r="J536" s="39" t="s">
        <v>88</v>
      </c>
      <c r="K536" s="40">
        <v>46061</v>
      </c>
      <c r="L536" s="39">
        <v>3</v>
      </c>
    </row>
    <row r="537" spans="10:12">
      <c r="J537" s="25" t="s">
        <v>23</v>
      </c>
      <c r="K537" s="32">
        <v>46061</v>
      </c>
      <c r="L537" s="25">
        <v>14</v>
      </c>
    </row>
    <row r="538" spans="10:12">
      <c r="J538" s="39" t="s">
        <v>98</v>
      </c>
      <c r="K538" s="40">
        <v>46061</v>
      </c>
      <c r="L538" s="39">
        <v>14</v>
      </c>
    </row>
    <row r="539" spans="10:12">
      <c r="J539" s="25" t="s">
        <v>31</v>
      </c>
      <c r="K539" s="32">
        <v>46061</v>
      </c>
      <c r="L539" s="25">
        <v>1</v>
      </c>
    </row>
    <row r="540" spans="10:12">
      <c r="J540" s="39" t="s">
        <v>67</v>
      </c>
      <c r="K540" s="40">
        <v>46061</v>
      </c>
      <c r="L540" s="39">
        <v>1</v>
      </c>
    </row>
    <row r="541" spans="10:12">
      <c r="J541" s="25" t="s">
        <v>76</v>
      </c>
      <c r="K541" s="32">
        <v>46061</v>
      </c>
      <c r="L541" s="25">
        <v>18</v>
      </c>
    </row>
    <row r="542" spans="10:12">
      <c r="J542" s="39" t="s">
        <v>82</v>
      </c>
      <c r="K542" s="40">
        <v>46062</v>
      </c>
      <c r="L542" s="39">
        <v>22</v>
      </c>
    </row>
    <row r="543" spans="10:12">
      <c r="J543" s="25" t="s">
        <v>58</v>
      </c>
      <c r="K543" s="32">
        <v>46062</v>
      </c>
      <c r="L543" s="25">
        <v>1</v>
      </c>
    </row>
    <row r="544" spans="10:12">
      <c r="J544" s="39" t="s">
        <v>18</v>
      </c>
      <c r="K544" s="40">
        <v>46062</v>
      </c>
      <c r="L544" s="39">
        <v>1</v>
      </c>
    </row>
    <row r="545" spans="10:12">
      <c r="J545" s="25" t="s">
        <v>94</v>
      </c>
      <c r="K545" s="32">
        <v>46062</v>
      </c>
      <c r="L545" s="25">
        <v>18</v>
      </c>
    </row>
    <row r="546" spans="10:12">
      <c r="J546" s="39" t="s">
        <v>40</v>
      </c>
      <c r="K546" s="40">
        <v>46062</v>
      </c>
      <c r="L546" s="39">
        <v>11</v>
      </c>
    </row>
    <row r="547" spans="10:12">
      <c r="J547" s="25" t="s">
        <v>28</v>
      </c>
      <c r="K547" s="32">
        <v>46062</v>
      </c>
      <c r="L547" s="25">
        <v>6</v>
      </c>
    </row>
    <row r="548" spans="10:12">
      <c r="J548" s="39" t="s">
        <v>70</v>
      </c>
      <c r="K548" s="40">
        <v>46062</v>
      </c>
      <c r="L548" s="39">
        <v>11</v>
      </c>
    </row>
    <row r="549" spans="10:12">
      <c r="J549" s="25" t="s">
        <v>51</v>
      </c>
      <c r="K549" s="32">
        <v>46062</v>
      </c>
      <c r="L549" s="25">
        <v>7</v>
      </c>
    </row>
    <row r="550" spans="10:12">
      <c r="J550" s="39" t="s">
        <v>94</v>
      </c>
      <c r="K550" s="40">
        <v>46062</v>
      </c>
      <c r="L550" s="39">
        <v>11</v>
      </c>
    </row>
    <row r="551" spans="10:12">
      <c r="J551" s="25" t="s">
        <v>55</v>
      </c>
      <c r="K551" s="32">
        <v>46062</v>
      </c>
      <c r="L551" s="25">
        <v>5</v>
      </c>
    </row>
    <row r="552" spans="10:12">
      <c r="J552" s="39" t="s">
        <v>23</v>
      </c>
      <c r="K552" s="40">
        <v>46062</v>
      </c>
      <c r="L552" s="39">
        <v>1</v>
      </c>
    </row>
    <row r="553" spans="10:12">
      <c r="J553" s="25" t="s">
        <v>96</v>
      </c>
      <c r="K553" s="32">
        <v>46062</v>
      </c>
      <c r="L553" s="25">
        <v>1</v>
      </c>
    </row>
    <row r="554" spans="10:12">
      <c r="J554" s="39" t="s">
        <v>94</v>
      </c>
      <c r="K554" s="40">
        <v>46062</v>
      </c>
      <c r="L554" s="39">
        <v>12</v>
      </c>
    </row>
    <row r="555" spans="10:12">
      <c r="J555" s="25" t="s">
        <v>38</v>
      </c>
      <c r="K555" s="32">
        <v>46063</v>
      </c>
      <c r="L555" s="25">
        <v>6</v>
      </c>
    </row>
    <row r="556" spans="10:12">
      <c r="J556" s="39" t="s">
        <v>80</v>
      </c>
      <c r="K556" s="40">
        <v>46063</v>
      </c>
      <c r="L556" s="39">
        <v>14</v>
      </c>
    </row>
    <row r="557" spans="10:12">
      <c r="J557" s="25" t="s">
        <v>61</v>
      </c>
      <c r="K557" s="32">
        <v>46063</v>
      </c>
      <c r="L557" s="25">
        <v>15</v>
      </c>
    </row>
    <row r="558" spans="10:12">
      <c r="J558" s="39" t="s">
        <v>11</v>
      </c>
      <c r="K558" s="40">
        <v>46063</v>
      </c>
      <c r="L558" s="39">
        <v>2</v>
      </c>
    </row>
    <row r="559" spans="10:12">
      <c r="J559" s="25" t="s">
        <v>49</v>
      </c>
      <c r="K559" s="32">
        <v>46063</v>
      </c>
      <c r="L559" s="25">
        <v>3</v>
      </c>
    </row>
    <row r="560" spans="10:12">
      <c r="J560" s="39" t="s">
        <v>49</v>
      </c>
      <c r="K560" s="40">
        <v>46063</v>
      </c>
      <c r="L560" s="39">
        <v>3</v>
      </c>
    </row>
    <row r="561" spans="10:12">
      <c r="J561" s="25" t="s">
        <v>67</v>
      </c>
      <c r="K561" s="32">
        <v>46063</v>
      </c>
      <c r="L561" s="25">
        <v>11</v>
      </c>
    </row>
    <row r="562" spans="10:12">
      <c r="J562" s="39" t="s">
        <v>82</v>
      </c>
      <c r="K562" s="40">
        <v>46063</v>
      </c>
      <c r="L562" s="39">
        <v>12</v>
      </c>
    </row>
    <row r="563" spans="10:12">
      <c r="J563" s="25" t="s">
        <v>96</v>
      </c>
      <c r="K563" s="32">
        <v>46063</v>
      </c>
      <c r="L563" s="25">
        <v>7</v>
      </c>
    </row>
    <row r="564" spans="10:12">
      <c r="J564" s="39" t="s">
        <v>96</v>
      </c>
      <c r="K564" s="40">
        <v>46063</v>
      </c>
      <c r="L564" s="39">
        <v>3</v>
      </c>
    </row>
    <row r="565" spans="10:12">
      <c r="J565" s="25" t="s">
        <v>11</v>
      </c>
      <c r="K565" s="32">
        <v>46063</v>
      </c>
      <c r="L565" s="25">
        <v>15</v>
      </c>
    </row>
    <row r="566" spans="10:12">
      <c r="J566" s="39" t="s">
        <v>78</v>
      </c>
      <c r="K566" s="40">
        <v>46063</v>
      </c>
      <c r="L566" s="39">
        <v>4</v>
      </c>
    </row>
    <row r="567" spans="10:12">
      <c r="J567" s="25" t="s">
        <v>92</v>
      </c>
      <c r="K567" s="32">
        <v>46063</v>
      </c>
      <c r="L567" s="25">
        <v>11</v>
      </c>
    </row>
    <row r="568" spans="10:12">
      <c r="J568" s="39" t="s">
        <v>58</v>
      </c>
      <c r="K568" s="40">
        <v>46063</v>
      </c>
      <c r="L568" s="39">
        <v>1</v>
      </c>
    </row>
    <row r="569" spans="10:12">
      <c r="J569" s="25" t="s">
        <v>51</v>
      </c>
      <c r="K569" s="32">
        <v>46064</v>
      </c>
      <c r="L569" s="25">
        <v>2</v>
      </c>
    </row>
    <row r="570" spans="10:12">
      <c r="J570" s="39" t="s">
        <v>88</v>
      </c>
      <c r="K570" s="40">
        <v>46064</v>
      </c>
      <c r="L570" s="39">
        <v>4</v>
      </c>
    </row>
    <row r="571" spans="10:12">
      <c r="J571" s="25" t="s">
        <v>31</v>
      </c>
      <c r="K571" s="32">
        <v>46064</v>
      </c>
      <c r="L571" s="25">
        <v>2</v>
      </c>
    </row>
    <row r="572" spans="10:12">
      <c r="J572" s="39" t="s">
        <v>72</v>
      </c>
      <c r="K572" s="40">
        <v>46064</v>
      </c>
      <c r="L572" s="39">
        <v>8</v>
      </c>
    </row>
    <row r="573" spans="10:12">
      <c r="J573" s="25" t="s">
        <v>88</v>
      </c>
      <c r="K573" s="32">
        <v>46064</v>
      </c>
      <c r="L573" s="25">
        <v>29</v>
      </c>
    </row>
    <row r="574" spans="10:12">
      <c r="J574" s="39" t="s">
        <v>51</v>
      </c>
      <c r="K574" s="40">
        <v>46064</v>
      </c>
      <c r="L574" s="39">
        <v>13</v>
      </c>
    </row>
    <row r="575" spans="10:12">
      <c r="J575" s="25" t="s">
        <v>76</v>
      </c>
      <c r="K575" s="32">
        <v>46064</v>
      </c>
      <c r="L575" s="25">
        <v>4</v>
      </c>
    </row>
    <row r="576" spans="10:12">
      <c r="J576" s="39" t="s">
        <v>28</v>
      </c>
      <c r="K576" s="40">
        <v>46064</v>
      </c>
      <c r="L576" s="39">
        <v>2</v>
      </c>
    </row>
    <row r="577" spans="10:12">
      <c r="J577" s="25" t="s">
        <v>78</v>
      </c>
      <c r="K577" s="32">
        <v>46064</v>
      </c>
      <c r="L577" s="25">
        <v>8</v>
      </c>
    </row>
    <row r="578" spans="10:12">
      <c r="J578" s="39" t="s">
        <v>49</v>
      </c>
      <c r="K578" s="40">
        <v>46064</v>
      </c>
      <c r="L578" s="39">
        <v>7</v>
      </c>
    </row>
    <row r="579" spans="10:12">
      <c r="J579" s="25" t="s">
        <v>70</v>
      </c>
      <c r="K579" s="32">
        <v>46064</v>
      </c>
      <c r="L579" s="25">
        <v>21</v>
      </c>
    </row>
    <row r="580" spans="10:12">
      <c r="J580" s="39" t="s">
        <v>98</v>
      </c>
      <c r="K580" s="40">
        <v>46064</v>
      </c>
      <c r="L580" s="39">
        <v>18</v>
      </c>
    </row>
    <row r="581" spans="10:12">
      <c r="J581" s="25" t="s">
        <v>92</v>
      </c>
      <c r="K581" s="32">
        <v>46065</v>
      </c>
      <c r="L581" s="25">
        <v>12</v>
      </c>
    </row>
    <row r="582" spans="10:12">
      <c r="J582" s="39" t="s">
        <v>82</v>
      </c>
      <c r="K582" s="40">
        <v>46065</v>
      </c>
      <c r="L582" s="39">
        <v>24</v>
      </c>
    </row>
    <row r="583" spans="10:12">
      <c r="J583" s="25" t="s">
        <v>53</v>
      </c>
      <c r="K583" s="32">
        <v>46065</v>
      </c>
      <c r="L583" s="25">
        <v>3</v>
      </c>
    </row>
    <row r="584" spans="10:12">
      <c r="J584" s="39" t="s">
        <v>35</v>
      </c>
      <c r="K584" s="40">
        <v>46065</v>
      </c>
      <c r="L584" s="39">
        <v>6</v>
      </c>
    </row>
    <row r="585" spans="10:12">
      <c r="J585" s="25" t="s">
        <v>96</v>
      </c>
      <c r="K585" s="32">
        <v>46065</v>
      </c>
      <c r="L585" s="25">
        <v>22</v>
      </c>
    </row>
    <row r="586" spans="10:12">
      <c r="J586" s="39" t="s">
        <v>23</v>
      </c>
      <c r="K586" s="40">
        <v>46065</v>
      </c>
      <c r="L586" s="39">
        <v>11</v>
      </c>
    </row>
    <row r="587" spans="10:12">
      <c r="J587" s="25" t="s">
        <v>31</v>
      </c>
      <c r="K587" s="32">
        <v>46065</v>
      </c>
      <c r="L587" s="25">
        <v>9</v>
      </c>
    </row>
    <row r="588" spans="10:12">
      <c r="J588" s="39" t="s">
        <v>76</v>
      </c>
      <c r="K588" s="40">
        <v>46065</v>
      </c>
      <c r="L588" s="39">
        <v>4</v>
      </c>
    </row>
    <row r="589" spans="10:12">
      <c r="J589" s="25" t="s">
        <v>11</v>
      </c>
      <c r="K589" s="32">
        <v>46065</v>
      </c>
      <c r="L589" s="25">
        <v>11</v>
      </c>
    </row>
    <row r="590" spans="10:12">
      <c r="J590" s="39" t="s">
        <v>100</v>
      </c>
      <c r="K590" s="40">
        <v>46065</v>
      </c>
      <c r="L590" s="39">
        <v>12</v>
      </c>
    </row>
    <row r="591" spans="10:12">
      <c r="J591" s="25" t="s">
        <v>94</v>
      </c>
      <c r="K591" s="32">
        <v>46066</v>
      </c>
      <c r="L591" s="25">
        <v>3</v>
      </c>
    </row>
    <row r="592" spans="10:12">
      <c r="J592" s="39" t="s">
        <v>67</v>
      </c>
      <c r="K592" s="40">
        <v>46066</v>
      </c>
      <c r="L592" s="39">
        <v>16</v>
      </c>
    </row>
    <row r="593" spans="10:12">
      <c r="J593" s="25" t="s">
        <v>86</v>
      </c>
      <c r="K593" s="32">
        <v>46066</v>
      </c>
      <c r="L593" s="25">
        <v>2</v>
      </c>
    </row>
    <row r="594" spans="10:12">
      <c r="J594" s="39" t="s">
        <v>61</v>
      </c>
      <c r="K594" s="40">
        <v>46066</v>
      </c>
      <c r="L594" s="39">
        <v>12</v>
      </c>
    </row>
    <row r="595" spans="10:12">
      <c r="J595" s="25" t="s">
        <v>94</v>
      </c>
      <c r="K595" s="32">
        <v>46066</v>
      </c>
      <c r="L595" s="25">
        <v>10</v>
      </c>
    </row>
    <row r="596" spans="10:12">
      <c r="J596" s="39" t="s">
        <v>94</v>
      </c>
      <c r="K596" s="40">
        <v>46066</v>
      </c>
      <c r="L596" s="39">
        <v>3</v>
      </c>
    </row>
    <row r="597" spans="10:12">
      <c r="J597" s="25" t="s">
        <v>53</v>
      </c>
      <c r="K597" s="32">
        <v>46066</v>
      </c>
      <c r="L597" s="25">
        <v>10</v>
      </c>
    </row>
    <row r="598" spans="10:12">
      <c r="J598" s="39" t="s">
        <v>96</v>
      </c>
      <c r="K598" s="40">
        <v>46066</v>
      </c>
      <c r="L598" s="39">
        <v>10</v>
      </c>
    </row>
    <row r="599" spans="10:12">
      <c r="J599" s="25" t="s">
        <v>67</v>
      </c>
      <c r="K599" s="32">
        <v>46066</v>
      </c>
      <c r="L599" s="25">
        <v>24</v>
      </c>
    </row>
    <row r="600" spans="10:12">
      <c r="J600" s="39" t="s">
        <v>98</v>
      </c>
      <c r="K600" s="40">
        <v>46066</v>
      </c>
      <c r="L600" s="39">
        <v>8</v>
      </c>
    </row>
    <row r="601" spans="10:12">
      <c r="J601" s="25" t="s">
        <v>100</v>
      </c>
      <c r="K601" s="32">
        <v>46066</v>
      </c>
      <c r="L601" s="25">
        <v>7</v>
      </c>
    </row>
    <row r="602" spans="10:12">
      <c r="J602" s="39" t="s">
        <v>100</v>
      </c>
      <c r="K602" s="40">
        <v>46066</v>
      </c>
      <c r="L602" s="39">
        <v>14</v>
      </c>
    </row>
    <row r="603" spans="10:12">
      <c r="J603" s="25" t="s">
        <v>43</v>
      </c>
      <c r="K603" s="32">
        <v>46066</v>
      </c>
      <c r="L603" s="25">
        <v>13</v>
      </c>
    </row>
    <row r="604" spans="10:12">
      <c r="J604" s="39" t="s">
        <v>98</v>
      </c>
      <c r="K604" s="40">
        <v>46066</v>
      </c>
      <c r="L604" s="39">
        <v>11</v>
      </c>
    </row>
    <row r="605" spans="10:12">
      <c r="J605" s="25" t="s">
        <v>96</v>
      </c>
      <c r="K605" s="32">
        <v>46067</v>
      </c>
      <c r="L605" s="25">
        <v>21</v>
      </c>
    </row>
    <row r="606" spans="10:12">
      <c r="J606" s="39" t="s">
        <v>58</v>
      </c>
      <c r="K606" s="40">
        <v>46067</v>
      </c>
      <c r="L606" s="39">
        <v>9</v>
      </c>
    </row>
    <row r="607" spans="10:12">
      <c r="J607" s="25" t="s">
        <v>100</v>
      </c>
      <c r="K607" s="32">
        <v>46067</v>
      </c>
      <c r="L607" s="25">
        <v>9</v>
      </c>
    </row>
    <row r="608" spans="10:12">
      <c r="J608" s="39" t="s">
        <v>86</v>
      </c>
      <c r="K608" s="40">
        <v>46067</v>
      </c>
      <c r="L608" s="39">
        <v>2</v>
      </c>
    </row>
    <row r="609" spans="10:12">
      <c r="J609" s="25" t="s">
        <v>58</v>
      </c>
      <c r="K609" s="32">
        <v>46067</v>
      </c>
      <c r="L609" s="25">
        <v>10</v>
      </c>
    </row>
    <row r="610" spans="10:12">
      <c r="J610" s="39" t="s">
        <v>61</v>
      </c>
      <c r="K610" s="40">
        <v>46067</v>
      </c>
      <c r="L610" s="39">
        <v>10</v>
      </c>
    </row>
    <row r="611" spans="10:12">
      <c r="J611" s="25" t="s">
        <v>76</v>
      </c>
      <c r="K611" s="32">
        <v>46067</v>
      </c>
      <c r="L611" s="25">
        <v>6</v>
      </c>
    </row>
    <row r="612" spans="10:12">
      <c r="J612" s="39" t="s">
        <v>78</v>
      </c>
      <c r="K612" s="40">
        <v>46067</v>
      </c>
      <c r="L612" s="39">
        <v>16</v>
      </c>
    </row>
    <row r="613" spans="10:12">
      <c r="J613" s="25" t="s">
        <v>61</v>
      </c>
      <c r="K613" s="32">
        <v>46067</v>
      </c>
      <c r="L613" s="25">
        <v>3</v>
      </c>
    </row>
    <row r="614" spans="10:12">
      <c r="J614" s="39" t="s">
        <v>84</v>
      </c>
      <c r="K614" s="40">
        <v>46067</v>
      </c>
      <c r="L614" s="39">
        <v>3</v>
      </c>
    </row>
    <row r="615" spans="10:12">
      <c r="J615" s="25" t="s">
        <v>31</v>
      </c>
      <c r="K615" s="32">
        <v>46067</v>
      </c>
      <c r="L615" s="25">
        <v>2</v>
      </c>
    </row>
    <row r="616" spans="10:12">
      <c r="J616" s="39" t="s">
        <v>28</v>
      </c>
      <c r="K616" s="40">
        <v>46067</v>
      </c>
      <c r="L616" s="39">
        <v>16</v>
      </c>
    </row>
    <row r="617" spans="10:12">
      <c r="J617" s="25" t="s">
        <v>58</v>
      </c>
      <c r="K617" s="32">
        <v>46067</v>
      </c>
      <c r="L617" s="25">
        <v>11</v>
      </c>
    </row>
    <row r="618" spans="10:12">
      <c r="J618" s="39" t="s">
        <v>78</v>
      </c>
      <c r="K618" s="40">
        <v>46067</v>
      </c>
      <c r="L618" s="39">
        <v>9</v>
      </c>
    </row>
    <row r="619" spans="10:12">
      <c r="J619" s="25" t="s">
        <v>84</v>
      </c>
      <c r="K619" s="32">
        <v>46067</v>
      </c>
      <c r="L619" s="25">
        <v>23</v>
      </c>
    </row>
    <row r="620" spans="10:12">
      <c r="J620" s="39" t="s">
        <v>18</v>
      </c>
      <c r="K620" s="40">
        <v>46068</v>
      </c>
      <c r="L620" s="39">
        <v>17</v>
      </c>
    </row>
    <row r="621" spans="10:12">
      <c r="J621" s="25" t="s">
        <v>43</v>
      </c>
      <c r="K621" s="32">
        <v>46068</v>
      </c>
      <c r="L621" s="25">
        <v>7</v>
      </c>
    </row>
    <row r="622" spans="10:12">
      <c r="J622" s="39" t="s">
        <v>61</v>
      </c>
      <c r="K622" s="40">
        <v>46068</v>
      </c>
      <c r="L622" s="39">
        <v>7</v>
      </c>
    </row>
    <row r="623" spans="10:12">
      <c r="J623" s="25" t="s">
        <v>49</v>
      </c>
      <c r="K623" s="32">
        <v>46068</v>
      </c>
      <c r="L623" s="25">
        <v>1</v>
      </c>
    </row>
    <row r="624" spans="10:12">
      <c r="J624" s="39" t="s">
        <v>18</v>
      </c>
      <c r="K624" s="40">
        <v>46068</v>
      </c>
      <c r="L624" s="39">
        <v>6</v>
      </c>
    </row>
    <row r="625" spans="10:12">
      <c r="J625" s="25" t="s">
        <v>74</v>
      </c>
      <c r="K625" s="32">
        <v>46068</v>
      </c>
      <c r="L625" s="25">
        <v>5</v>
      </c>
    </row>
    <row r="626" spans="10:12">
      <c r="J626" s="39" t="s">
        <v>88</v>
      </c>
      <c r="K626" s="40">
        <v>46068</v>
      </c>
      <c r="L626" s="39">
        <v>8</v>
      </c>
    </row>
    <row r="627" spans="10:12">
      <c r="J627" s="25" t="s">
        <v>82</v>
      </c>
      <c r="K627" s="32">
        <v>46068</v>
      </c>
      <c r="L627" s="25">
        <v>4</v>
      </c>
    </row>
    <row r="628" spans="10:12">
      <c r="J628" s="39" t="s">
        <v>40</v>
      </c>
      <c r="K628" s="40">
        <v>46068</v>
      </c>
      <c r="L628" s="39">
        <v>9</v>
      </c>
    </row>
    <row r="629" spans="10:12">
      <c r="J629" s="25" t="s">
        <v>76</v>
      </c>
      <c r="K629" s="32">
        <v>46068</v>
      </c>
      <c r="L629" s="25">
        <v>15</v>
      </c>
    </row>
    <row r="630" spans="10:12">
      <c r="J630" s="39" t="s">
        <v>63</v>
      </c>
      <c r="K630" s="40">
        <v>46068</v>
      </c>
      <c r="L630" s="39">
        <v>23</v>
      </c>
    </row>
    <row r="631" spans="10:12">
      <c r="J631" s="25" t="s">
        <v>76</v>
      </c>
      <c r="K631" s="32">
        <v>46068</v>
      </c>
      <c r="L631" s="25">
        <v>5</v>
      </c>
    </row>
    <row r="632" spans="10:12">
      <c r="J632" s="39" t="s">
        <v>100</v>
      </c>
      <c r="K632" s="40">
        <v>46068</v>
      </c>
      <c r="L632" s="39">
        <v>8</v>
      </c>
    </row>
    <row r="633" spans="10:12">
      <c r="J633" s="25" t="s">
        <v>82</v>
      </c>
      <c r="K633" s="32">
        <v>46068</v>
      </c>
      <c r="L633" s="25">
        <v>1</v>
      </c>
    </row>
    <row r="634" spans="10:12">
      <c r="J634" s="39" t="s">
        <v>11</v>
      </c>
      <c r="K634" s="40">
        <v>46069</v>
      </c>
      <c r="L634" s="39">
        <v>5</v>
      </c>
    </row>
    <row r="635" spans="10:12">
      <c r="J635" s="25" t="s">
        <v>82</v>
      </c>
      <c r="K635" s="32">
        <v>46069</v>
      </c>
      <c r="L635" s="25">
        <v>18</v>
      </c>
    </row>
    <row r="636" spans="10:12">
      <c r="J636" s="39" t="s">
        <v>63</v>
      </c>
      <c r="K636" s="40">
        <v>46069</v>
      </c>
      <c r="L636" s="39">
        <v>11</v>
      </c>
    </row>
    <row r="637" spans="10:12">
      <c r="J637" s="25" t="s">
        <v>58</v>
      </c>
      <c r="K637" s="32">
        <v>46069</v>
      </c>
      <c r="L637" s="25">
        <v>11</v>
      </c>
    </row>
    <row r="638" spans="10:12">
      <c r="J638" s="39" t="s">
        <v>78</v>
      </c>
      <c r="K638" s="40">
        <v>46069</v>
      </c>
      <c r="L638" s="39">
        <v>10</v>
      </c>
    </row>
    <row r="639" spans="10:12">
      <c r="J639" s="25" t="s">
        <v>98</v>
      </c>
      <c r="K639" s="32">
        <v>46069</v>
      </c>
      <c r="L639" s="25">
        <v>9</v>
      </c>
    </row>
    <row r="640" spans="10:12">
      <c r="J640" s="39" t="s">
        <v>49</v>
      </c>
      <c r="K640" s="40">
        <v>46069</v>
      </c>
      <c r="L640" s="39">
        <v>16</v>
      </c>
    </row>
    <row r="641" spans="10:12">
      <c r="J641" s="25" t="s">
        <v>90</v>
      </c>
      <c r="K641" s="32">
        <v>46069</v>
      </c>
      <c r="L641" s="25">
        <v>17</v>
      </c>
    </row>
    <row r="642" spans="10:12">
      <c r="J642" s="39" t="s">
        <v>67</v>
      </c>
      <c r="K642" s="40">
        <v>46069</v>
      </c>
      <c r="L642" s="39">
        <v>9</v>
      </c>
    </row>
    <row r="643" spans="10:12">
      <c r="J643" s="25" t="s">
        <v>58</v>
      </c>
      <c r="K643" s="32">
        <v>46069</v>
      </c>
      <c r="L643" s="25">
        <v>1</v>
      </c>
    </row>
    <row r="644" spans="10:12">
      <c r="J644" s="39" t="s">
        <v>84</v>
      </c>
      <c r="K644" s="40">
        <v>46069</v>
      </c>
      <c r="L644" s="39">
        <v>37</v>
      </c>
    </row>
    <row r="645" spans="10:12">
      <c r="J645" s="25" t="s">
        <v>76</v>
      </c>
      <c r="K645" s="32">
        <v>46069</v>
      </c>
      <c r="L645" s="25">
        <v>24</v>
      </c>
    </row>
    <row r="646" spans="10:12">
      <c r="J646" s="39" t="s">
        <v>40</v>
      </c>
      <c r="K646" s="40">
        <v>46069</v>
      </c>
      <c r="L646" s="39">
        <v>8</v>
      </c>
    </row>
    <row r="647" spans="10:12">
      <c r="J647" s="25" t="s">
        <v>61</v>
      </c>
      <c r="K647" s="32">
        <v>46069</v>
      </c>
      <c r="L647" s="25">
        <v>8</v>
      </c>
    </row>
    <row r="648" spans="10:12">
      <c r="J648" s="39" t="s">
        <v>11</v>
      </c>
      <c r="K648" s="40">
        <v>46069</v>
      </c>
      <c r="L648" s="39">
        <v>5</v>
      </c>
    </row>
    <row r="649" spans="10:12">
      <c r="J649" s="25" t="s">
        <v>92</v>
      </c>
      <c r="K649" s="32">
        <v>46069</v>
      </c>
      <c r="L649" s="25">
        <v>10</v>
      </c>
    </row>
    <row r="650" spans="10:12">
      <c r="J650" s="39" t="s">
        <v>76</v>
      </c>
      <c r="K650" s="40">
        <v>46069</v>
      </c>
      <c r="L650" s="39">
        <v>8</v>
      </c>
    </row>
    <row r="651" spans="10:12">
      <c r="J651" s="25" t="s">
        <v>18</v>
      </c>
      <c r="K651" s="32">
        <v>46069</v>
      </c>
      <c r="L651" s="25">
        <v>13</v>
      </c>
    </row>
    <row r="652" spans="10:12">
      <c r="J652" s="39" t="s">
        <v>92</v>
      </c>
      <c r="K652" s="40">
        <v>46069</v>
      </c>
      <c r="L652" s="39">
        <v>12</v>
      </c>
    </row>
    <row r="653" spans="10:12">
      <c r="J653" s="25" t="s">
        <v>86</v>
      </c>
      <c r="K653" s="32">
        <v>46069</v>
      </c>
      <c r="L653" s="25">
        <v>6</v>
      </c>
    </row>
    <row r="654" spans="10:12">
      <c r="J654" s="39" t="s">
        <v>31</v>
      </c>
      <c r="K654" s="40">
        <v>46070</v>
      </c>
      <c r="L654" s="39">
        <v>1</v>
      </c>
    </row>
    <row r="655" spans="10:12">
      <c r="J655" s="25" t="s">
        <v>67</v>
      </c>
      <c r="K655" s="32">
        <v>46070</v>
      </c>
      <c r="L655" s="25">
        <v>8</v>
      </c>
    </row>
    <row r="656" spans="10:12">
      <c r="J656" s="39" t="s">
        <v>74</v>
      </c>
      <c r="K656" s="40">
        <v>46070</v>
      </c>
      <c r="L656" s="39">
        <v>3</v>
      </c>
    </row>
    <row r="657" spans="10:12">
      <c r="J657" s="25" t="s">
        <v>11</v>
      </c>
      <c r="K657" s="32">
        <v>46070</v>
      </c>
      <c r="L657" s="25">
        <v>30</v>
      </c>
    </row>
    <row r="658" spans="10:12">
      <c r="J658" s="39" t="s">
        <v>100</v>
      </c>
      <c r="K658" s="40">
        <v>46070</v>
      </c>
      <c r="L658" s="39">
        <v>4</v>
      </c>
    </row>
    <row r="659" spans="10:12">
      <c r="J659" s="25" t="s">
        <v>61</v>
      </c>
      <c r="K659" s="32">
        <v>46070</v>
      </c>
      <c r="L659" s="25">
        <v>12</v>
      </c>
    </row>
    <row r="660" spans="10:12">
      <c r="J660" s="39" t="s">
        <v>23</v>
      </c>
      <c r="K660" s="40">
        <v>46070</v>
      </c>
      <c r="L660" s="39">
        <v>4</v>
      </c>
    </row>
    <row r="661" spans="10:12">
      <c r="J661" s="25" t="s">
        <v>96</v>
      </c>
      <c r="K661" s="32">
        <v>46070</v>
      </c>
      <c r="L661" s="25">
        <v>9</v>
      </c>
    </row>
    <row r="662" spans="10:12">
      <c r="J662" s="39" t="s">
        <v>82</v>
      </c>
      <c r="K662" s="40">
        <v>46070</v>
      </c>
      <c r="L662" s="39">
        <v>12</v>
      </c>
    </row>
    <row r="663" spans="10:12">
      <c r="J663" s="25" t="s">
        <v>55</v>
      </c>
      <c r="K663" s="32">
        <v>46070</v>
      </c>
      <c r="L663" s="25">
        <v>1</v>
      </c>
    </row>
    <row r="664" spans="10:12">
      <c r="J664" s="39" t="s">
        <v>53</v>
      </c>
      <c r="K664" s="40">
        <v>46070</v>
      </c>
      <c r="L664" s="39">
        <v>1</v>
      </c>
    </row>
    <row r="665" spans="10:12">
      <c r="J665" s="25" t="s">
        <v>70</v>
      </c>
      <c r="K665" s="32">
        <v>46070</v>
      </c>
      <c r="L665" s="25">
        <v>15</v>
      </c>
    </row>
    <row r="666" spans="10:12">
      <c r="J666" s="39" t="s">
        <v>53</v>
      </c>
      <c r="K666" s="40">
        <v>46070</v>
      </c>
      <c r="L666" s="39">
        <v>8</v>
      </c>
    </row>
    <row r="667" spans="10:12">
      <c r="J667" s="25" t="s">
        <v>86</v>
      </c>
      <c r="K667" s="32">
        <v>46071</v>
      </c>
      <c r="L667" s="25">
        <v>4</v>
      </c>
    </row>
    <row r="668" spans="10:12">
      <c r="J668" s="39" t="s">
        <v>88</v>
      </c>
      <c r="K668" s="40">
        <v>46071</v>
      </c>
      <c r="L668" s="39">
        <v>7</v>
      </c>
    </row>
    <row r="669" spans="10:12">
      <c r="J669" s="25" t="s">
        <v>63</v>
      </c>
      <c r="K669" s="32">
        <v>46071</v>
      </c>
      <c r="L669" s="25">
        <v>13</v>
      </c>
    </row>
    <row r="670" spans="10:12">
      <c r="J670" s="39" t="s">
        <v>94</v>
      </c>
      <c r="K670" s="40">
        <v>46071</v>
      </c>
      <c r="L670" s="39">
        <v>19</v>
      </c>
    </row>
    <row r="671" spans="10:12">
      <c r="J671" s="25" t="s">
        <v>35</v>
      </c>
      <c r="K671" s="32">
        <v>46071</v>
      </c>
      <c r="L671" s="25">
        <v>8</v>
      </c>
    </row>
    <row r="672" spans="10:12">
      <c r="J672" s="39" t="s">
        <v>53</v>
      </c>
      <c r="K672" s="40">
        <v>46071</v>
      </c>
      <c r="L672" s="39">
        <v>4</v>
      </c>
    </row>
    <row r="673" spans="10:12">
      <c r="J673" s="25" t="s">
        <v>70</v>
      </c>
      <c r="K673" s="32">
        <v>46071</v>
      </c>
      <c r="L673" s="25">
        <v>11</v>
      </c>
    </row>
    <row r="674" spans="10:12">
      <c r="J674" s="39" t="s">
        <v>31</v>
      </c>
      <c r="K674" s="40">
        <v>46071</v>
      </c>
      <c r="L674" s="39">
        <v>11</v>
      </c>
    </row>
    <row r="675" spans="10:12">
      <c r="J675" s="25" t="s">
        <v>84</v>
      </c>
      <c r="K675" s="32">
        <v>46071</v>
      </c>
      <c r="L675" s="25">
        <v>13</v>
      </c>
    </row>
    <row r="676" spans="10:12">
      <c r="J676" s="39" t="s">
        <v>100</v>
      </c>
      <c r="K676" s="40">
        <v>46071</v>
      </c>
      <c r="L676" s="39">
        <v>4</v>
      </c>
    </row>
    <row r="677" spans="10:12">
      <c r="J677" s="25" t="s">
        <v>67</v>
      </c>
      <c r="K677" s="32">
        <v>46071</v>
      </c>
      <c r="L677" s="25">
        <v>3</v>
      </c>
    </row>
    <row r="678" spans="10:12">
      <c r="J678" s="39" t="s">
        <v>35</v>
      </c>
      <c r="K678" s="40">
        <v>46071</v>
      </c>
      <c r="L678" s="39">
        <v>20</v>
      </c>
    </row>
    <row r="679" spans="10:12">
      <c r="J679" s="25" t="s">
        <v>61</v>
      </c>
      <c r="K679" s="32">
        <v>46071</v>
      </c>
      <c r="L679" s="25">
        <v>1</v>
      </c>
    </row>
    <row r="680" spans="10:12">
      <c r="J680" s="39" t="s">
        <v>58</v>
      </c>
      <c r="K680" s="40">
        <v>46072</v>
      </c>
      <c r="L680" s="39">
        <v>7</v>
      </c>
    </row>
    <row r="681" spans="10:12">
      <c r="J681" s="25" t="s">
        <v>28</v>
      </c>
      <c r="K681" s="32">
        <v>46072</v>
      </c>
      <c r="L681" s="25">
        <v>12</v>
      </c>
    </row>
    <row r="682" spans="10:12">
      <c r="J682" s="39" t="s">
        <v>96</v>
      </c>
      <c r="K682" s="40">
        <v>46072</v>
      </c>
      <c r="L682" s="39">
        <v>10</v>
      </c>
    </row>
    <row r="683" spans="10:12">
      <c r="J683" s="25" t="s">
        <v>84</v>
      </c>
      <c r="K683" s="32">
        <v>46072</v>
      </c>
      <c r="L683" s="25">
        <v>12</v>
      </c>
    </row>
    <row r="684" spans="10:12">
      <c r="J684" s="39" t="s">
        <v>31</v>
      </c>
      <c r="K684" s="40">
        <v>46072</v>
      </c>
      <c r="L684" s="39">
        <v>14</v>
      </c>
    </row>
    <row r="685" spans="10:12">
      <c r="J685" s="25" t="s">
        <v>35</v>
      </c>
      <c r="K685" s="32">
        <v>46072</v>
      </c>
      <c r="L685" s="25">
        <v>5</v>
      </c>
    </row>
    <row r="686" spans="10:12">
      <c r="J686" s="39" t="s">
        <v>70</v>
      </c>
      <c r="K686" s="40">
        <v>46072</v>
      </c>
      <c r="L686" s="39">
        <v>9</v>
      </c>
    </row>
    <row r="687" spans="10:12">
      <c r="J687" s="25" t="s">
        <v>43</v>
      </c>
      <c r="K687" s="32">
        <v>46072</v>
      </c>
      <c r="L687" s="25">
        <v>1</v>
      </c>
    </row>
    <row r="688" spans="10:12">
      <c r="J688" s="39" t="s">
        <v>90</v>
      </c>
      <c r="K688" s="40">
        <v>46072</v>
      </c>
      <c r="L688" s="39">
        <v>2</v>
      </c>
    </row>
    <row r="689" spans="10:12">
      <c r="J689" s="25" t="s">
        <v>31</v>
      </c>
      <c r="K689" s="32">
        <v>46072</v>
      </c>
      <c r="L689" s="25">
        <v>18</v>
      </c>
    </row>
    <row r="690" spans="10:12">
      <c r="J690" s="39" t="s">
        <v>38</v>
      </c>
      <c r="K690" s="40">
        <v>46072</v>
      </c>
      <c r="L690" s="39">
        <v>6</v>
      </c>
    </row>
    <row r="691" spans="10:12">
      <c r="J691" s="25" t="s">
        <v>82</v>
      </c>
      <c r="K691" s="32">
        <v>46072</v>
      </c>
      <c r="L691" s="25">
        <v>11</v>
      </c>
    </row>
    <row r="692" spans="10:12">
      <c r="J692" s="39" t="s">
        <v>72</v>
      </c>
      <c r="K692" s="40">
        <v>46072</v>
      </c>
      <c r="L692" s="39">
        <v>19</v>
      </c>
    </row>
    <row r="693" spans="10:12">
      <c r="J693" s="25" t="s">
        <v>51</v>
      </c>
      <c r="K693" s="32">
        <v>46072</v>
      </c>
      <c r="L693" s="25">
        <v>3</v>
      </c>
    </row>
    <row r="694" spans="10:12">
      <c r="J694" s="39" t="s">
        <v>61</v>
      </c>
      <c r="K694" s="40">
        <v>46073</v>
      </c>
      <c r="L694" s="39">
        <v>6</v>
      </c>
    </row>
    <row r="695" spans="10:12">
      <c r="J695" s="25" t="s">
        <v>78</v>
      </c>
      <c r="K695" s="32">
        <v>46073</v>
      </c>
      <c r="L695" s="25">
        <v>4</v>
      </c>
    </row>
    <row r="696" spans="10:12">
      <c r="J696" s="39" t="s">
        <v>65</v>
      </c>
      <c r="K696" s="40">
        <v>46073</v>
      </c>
      <c r="L696" s="39">
        <v>7</v>
      </c>
    </row>
    <row r="697" spans="10:12">
      <c r="J697" s="25" t="s">
        <v>100</v>
      </c>
      <c r="K697" s="32">
        <v>46073</v>
      </c>
      <c r="L697" s="25">
        <v>4</v>
      </c>
    </row>
    <row r="698" spans="10:12">
      <c r="J698" s="39" t="s">
        <v>72</v>
      </c>
      <c r="K698" s="40">
        <v>46073</v>
      </c>
      <c r="L698" s="39">
        <v>12</v>
      </c>
    </row>
    <row r="699" spans="10:12">
      <c r="J699" s="25" t="s">
        <v>90</v>
      </c>
      <c r="K699" s="32">
        <v>46073</v>
      </c>
      <c r="L699" s="25">
        <v>4</v>
      </c>
    </row>
    <row r="700" spans="10:12">
      <c r="J700" s="39" t="s">
        <v>94</v>
      </c>
      <c r="K700" s="40">
        <v>46073</v>
      </c>
      <c r="L700" s="39">
        <v>21</v>
      </c>
    </row>
    <row r="701" spans="10:12">
      <c r="J701" s="25" t="s">
        <v>11</v>
      </c>
      <c r="K701" s="32">
        <v>46073</v>
      </c>
      <c r="L701" s="25">
        <v>1</v>
      </c>
    </row>
    <row r="702" spans="10:12">
      <c r="J702" s="39" t="s">
        <v>78</v>
      </c>
      <c r="K702" s="40">
        <v>46073</v>
      </c>
      <c r="L702" s="39">
        <v>10</v>
      </c>
    </row>
    <row r="703" spans="10:12">
      <c r="J703" s="25" t="s">
        <v>18</v>
      </c>
      <c r="K703" s="32">
        <v>46073</v>
      </c>
      <c r="L703" s="25">
        <v>7</v>
      </c>
    </row>
    <row r="704" spans="10:12">
      <c r="J704" s="39" t="s">
        <v>84</v>
      </c>
      <c r="K704" s="40">
        <v>46073</v>
      </c>
      <c r="L704" s="39">
        <v>8</v>
      </c>
    </row>
    <row r="705" spans="10:12">
      <c r="J705" s="25" t="s">
        <v>88</v>
      </c>
      <c r="K705" s="32">
        <v>46073</v>
      </c>
      <c r="L705" s="25">
        <v>4</v>
      </c>
    </row>
    <row r="706" spans="10:12">
      <c r="J706" s="39" t="s">
        <v>43</v>
      </c>
      <c r="K706" s="40">
        <v>46073</v>
      </c>
      <c r="L706" s="39">
        <v>12</v>
      </c>
    </row>
    <row r="707" spans="10:12">
      <c r="J707" s="25" t="s">
        <v>80</v>
      </c>
      <c r="K707" s="32">
        <v>46073</v>
      </c>
      <c r="L707" s="25">
        <v>6</v>
      </c>
    </row>
    <row r="708" spans="10:12">
      <c r="J708" s="39" t="s">
        <v>55</v>
      </c>
      <c r="K708" s="40">
        <v>46073</v>
      </c>
      <c r="L708" s="39">
        <v>24</v>
      </c>
    </row>
    <row r="709" spans="10:12">
      <c r="J709" s="25" t="s">
        <v>92</v>
      </c>
      <c r="K709" s="32">
        <v>46074</v>
      </c>
      <c r="L709" s="25">
        <v>6</v>
      </c>
    </row>
    <row r="710" spans="10:12">
      <c r="J710" s="39" t="s">
        <v>65</v>
      </c>
      <c r="K710" s="40">
        <v>46074</v>
      </c>
      <c r="L710" s="39">
        <v>25</v>
      </c>
    </row>
    <row r="711" spans="10:12">
      <c r="J711" s="25" t="s">
        <v>35</v>
      </c>
      <c r="K711" s="32">
        <v>46074</v>
      </c>
      <c r="L711" s="25">
        <v>17</v>
      </c>
    </row>
    <row r="712" spans="10:12">
      <c r="J712" s="39" t="s">
        <v>31</v>
      </c>
      <c r="K712" s="40">
        <v>46074</v>
      </c>
      <c r="L712" s="39">
        <v>7</v>
      </c>
    </row>
    <row r="713" spans="10:12">
      <c r="J713" s="25" t="s">
        <v>28</v>
      </c>
      <c r="K713" s="32">
        <v>46074</v>
      </c>
      <c r="L713" s="25">
        <v>1</v>
      </c>
    </row>
    <row r="714" spans="10:12">
      <c r="J714" s="39" t="s">
        <v>94</v>
      </c>
      <c r="K714" s="40">
        <v>46074</v>
      </c>
      <c r="L714" s="39">
        <v>5</v>
      </c>
    </row>
    <row r="715" spans="10:12">
      <c r="J715" s="25" t="s">
        <v>11</v>
      </c>
      <c r="K715" s="32">
        <v>46074</v>
      </c>
      <c r="L715" s="25">
        <v>14</v>
      </c>
    </row>
    <row r="716" spans="10:12">
      <c r="J716" s="39" t="s">
        <v>92</v>
      </c>
      <c r="K716" s="40">
        <v>46074</v>
      </c>
      <c r="L716" s="39">
        <v>8</v>
      </c>
    </row>
    <row r="717" spans="10:12">
      <c r="J717" s="25" t="s">
        <v>38</v>
      </c>
      <c r="K717" s="32">
        <v>46075</v>
      </c>
      <c r="L717" s="25">
        <v>6</v>
      </c>
    </row>
    <row r="718" spans="10:12">
      <c r="J718" s="39" t="s">
        <v>58</v>
      </c>
      <c r="K718" s="40">
        <v>46075</v>
      </c>
      <c r="L718" s="39">
        <v>1</v>
      </c>
    </row>
    <row r="719" spans="10:12">
      <c r="J719" s="25" t="s">
        <v>55</v>
      </c>
      <c r="K719" s="32">
        <v>46075</v>
      </c>
      <c r="L719" s="25">
        <v>29</v>
      </c>
    </row>
    <row r="720" spans="10:12">
      <c r="J720" s="39" t="s">
        <v>23</v>
      </c>
      <c r="K720" s="40">
        <v>46075</v>
      </c>
      <c r="L720" s="39">
        <v>23</v>
      </c>
    </row>
    <row r="721" spans="10:12">
      <c r="J721" s="25" t="s">
        <v>72</v>
      </c>
      <c r="K721" s="32">
        <v>46075</v>
      </c>
      <c r="L721" s="25">
        <v>23</v>
      </c>
    </row>
    <row r="722" spans="10:12">
      <c r="J722" s="39" t="s">
        <v>98</v>
      </c>
      <c r="K722" s="40">
        <v>46075</v>
      </c>
      <c r="L722" s="39">
        <v>4</v>
      </c>
    </row>
    <row r="723" spans="10:12">
      <c r="J723" s="25" t="s">
        <v>35</v>
      </c>
      <c r="K723" s="32">
        <v>46075</v>
      </c>
      <c r="L723" s="25">
        <v>3</v>
      </c>
    </row>
    <row r="724" spans="10:12">
      <c r="J724" s="39" t="s">
        <v>74</v>
      </c>
      <c r="K724" s="40">
        <v>46075</v>
      </c>
      <c r="L724" s="39">
        <v>12</v>
      </c>
    </row>
    <row r="725" spans="10:12">
      <c r="J725" s="25" t="s">
        <v>40</v>
      </c>
      <c r="K725" s="32">
        <v>46075</v>
      </c>
      <c r="L725" s="25">
        <v>14</v>
      </c>
    </row>
    <row r="726" spans="10:12">
      <c r="J726" s="39" t="s">
        <v>84</v>
      </c>
      <c r="K726" s="40">
        <v>46075</v>
      </c>
      <c r="L726" s="39">
        <v>26</v>
      </c>
    </row>
    <row r="727" spans="10:12">
      <c r="J727" s="25" t="s">
        <v>82</v>
      </c>
      <c r="K727" s="32">
        <v>46075</v>
      </c>
      <c r="L727" s="25">
        <v>4</v>
      </c>
    </row>
    <row r="728" spans="10:12">
      <c r="J728" s="39" t="s">
        <v>92</v>
      </c>
      <c r="K728" s="40">
        <v>46075</v>
      </c>
      <c r="L728" s="39">
        <v>14</v>
      </c>
    </row>
    <row r="729" spans="10:12">
      <c r="J729" s="25" t="s">
        <v>86</v>
      </c>
      <c r="K729" s="32">
        <v>46075</v>
      </c>
      <c r="L729" s="25">
        <v>26</v>
      </c>
    </row>
    <row r="730" spans="10:12">
      <c r="J730" s="39" t="s">
        <v>46</v>
      </c>
      <c r="K730" s="40">
        <v>46075</v>
      </c>
      <c r="L730" s="39">
        <v>17</v>
      </c>
    </row>
    <row r="731" spans="10:12">
      <c r="J731" s="25" t="s">
        <v>23</v>
      </c>
      <c r="K731" s="32">
        <v>46075</v>
      </c>
      <c r="L731" s="25">
        <v>10</v>
      </c>
    </row>
    <row r="732" spans="10:12">
      <c r="J732" s="39" t="s">
        <v>94</v>
      </c>
      <c r="K732" s="40">
        <v>46075</v>
      </c>
      <c r="L732" s="39">
        <v>2</v>
      </c>
    </row>
    <row r="733" spans="10:12">
      <c r="J733" s="25" t="s">
        <v>35</v>
      </c>
      <c r="K733" s="32">
        <v>46075</v>
      </c>
      <c r="L733" s="25">
        <v>6</v>
      </c>
    </row>
    <row r="734" spans="10:12">
      <c r="J734" s="39" t="s">
        <v>18</v>
      </c>
      <c r="K734" s="40">
        <v>46075</v>
      </c>
      <c r="L734" s="39">
        <v>4</v>
      </c>
    </row>
    <row r="735" spans="10:12">
      <c r="J735" s="25" t="s">
        <v>84</v>
      </c>
      <c r="K735" s="32">
        <v>46075</v>
      </c>
      <c r="L735" s="25">
        <v>6</v>
      </c>
    </row>
    <row r="736" spans="10:12">
      <c r="J736" s="39" t="s">
        <v>63</v>
      </c>
      <c r="K736" s="40">
        <v>46075</v>
      </c>
      <c r="L736" s="39">
        <v>2</v>
      </c>
    </row>
    <row r="737" spans="10:12">
      <c r="J737" s="25" t="s">
        <v>18</v>
      </c>
      <c r="K737" s="32">
        <v>46075</v>
      </c>
      <c r="L737" s="25">
        <v>21</v>
      </c>
    </row>
    <row r="738" spans="10:12">
      <c r="J738" s="39" t="s">
        <v>82</v>
      </c>
      <c r="K738" s="40">
        <v>46075</v>
      </c>
      <c r="L738" s="39">
        <v>8</v>
      </c>
    </row>
    <row r="739" spans="10:12">
      <c r="J739" s="25" t="s">
        <v>28</v>
      </c>
      <c r="K739" s="32">
        <v>46076</v>
      </c>
      <c r="L739" s="25">
        <v>17</v>
      </c>
    </row>
    <row r="740" spans="10:12">
      <c r="J740" s="39" t="s">
        <v>67</v>
      </c>
      <c r="K740" s="40">
        <v>46076</v>
      </c>
      <c r="L740" s="39">
        <v>4</v>
      </c>
    </row>
    <row r="741" spans="10:12">
      <c r="J741" s="25" t="s">
        <v>51</v>
      </c>
      <c r="K741" s="32">
        <v>46076</v>
      </c>
      <c r="L741" s="25">
        <v>8</v>
      </c>
    </row>
    <row r="742" spans="10:12">
      <c r="J742" s="39" t="s">
        <v>86</v>
      </c>
      <c r="K742" s="40">
        <v>46076</v>
      </c>
      <c r="L742" s="39">
        <v>4</v>
      </c>
    </row>
    <row r="743" spans="10:12">
      <c r="J743" s="25" t="s">
        <v>35</v>
      </c>
      <c r="K743" s="32">
        <v>46076</v>
      </c>
      <c r="L743" s="25">
        <v>7</v>
      </c>
    </row>
    <row r="744" spans="10:12">
      <c r="J744" s="39" t="s">
        <v>70</v>
      </c>
      <c r="K744" s="40">
        <v>46076</v>
      </c>
      <c r="L744" s="39">
        <v>1</v>
      </c>
    </row>
    <row r="745" spans="10:12">
      <c r="J745" s="25" t="s">
        <v>90</v>
      </c>
      <c r="K745" s="32">
        <v>46076</v>
      </c>
      <c r="L745" s="25">
        <v>9</v>
      </c>
    </row>
    <row r="746" spans="10:12">
      <c r="J746" s="39" t="s">
        <v>76</v>
      </c>
      <c r="K746" s="40">
        <v>46076</v>
      </c>
      <c r="L746" s="39">
        <v>6</v>
      </c>
    </row>
    <row r="747" spans="10:12">
      <c r="J747" s="25" t="s">
        <v>84</v>
      </c>
      <c r="K747" s="32">
        <v>46076</v>
      </c>
      <c r="L747" s="25">
        <v>10</v>
      </c>
    </row>
    <row r="748" spans="10:12">
      <c r="J748" s="39" t="s">
        <v>51</v>
      </c>
      <c r="K748" s="40">
        <v>46076</v>
      </c>
      <c r="L748" s="39">
        <v>17</v>
      </c>
    </row>
    <row r="749" spans="10:12">
      <c r="J749" s="25" t="s">
        <v>43</v>
      </c>
      <c r="K749" s="32">
        <v>46076</v>
      </c>
      <c r="L749" s="25">
        <v>8</v>
      </c>
    </row>
    <row r="750" spans="10:12">
      <c r="J750" s="39" t="s">
        <v>74</v>
      </c>
      <c r="K750" s="40">
        <v>46076</v>
      </c>
      <c r="L750" s="39">
        <v>14</v>
      </c>
    </row>
    <row r="751" spans="10:12">
      <c r="J751" s="25" t="s">
        <v>70</v>
      </c>
      <c r="K751" s="32">
        <v>46076</v>
      </c>
      <c r="L751" s="25">
        <v>9</v>
      </c>
    </row>
    <row r="752" spans="10:12">
      <c r="J752" s="39" t="s">
        <v>53</v>
      </c>
      <c r="K752" s="40">
        <v>46076</v>
      </c>
      <c r="L752" s="39">
        <v>5</v>
      </c>
    </row>
    <row r="753" spans="10:12">
      <c r="J753" s="25" t="s">
        <v>84</v>
      </c>
      <c r="K753" s="32">
        <v>46077</v>
      </c>
      <c r="L753" s="25">
        <v>15</v>
      </c>
    </row>
    <row r="754" spans="10:12">
      <c r="J754" s="39" t="s">
        <v>49</v>
      </c>
      <c r="K754" s="40">
        <v>46077</v>
      </c>
      <c r="L754" s="39">
        <v>8</v>
      </c>
    </row>
    <row r="755" spans="10:12">
      <c r="J755" s="25" t="s">
        <v>53</v>
      </c>
      <c r="K755" s="32">
        <v>46077</v>
      </c>
      <c r="L755" s="25">
        <v>10</v>
      </c>
    </row>
    <row r="756" spans="10:12">
      <c r="J756" s="39" t="s">
        <v>72</v>
      </c>
      <c r="K756" s="40">
        <v>46077</v>
      </c>
      <c r="L756" s="39">
        <v>13</v>
      </c>
    </row>
    <row r="757" spans="10:12">
      <c r="J757" s="25" t="s">
        <v>40</v>
      </c>
      <c r="K757" s="32">
        <v>46077</v>
      </c>
      <c r="L757" s="25">
        <v>2</v>
      </c>
    </row>
    <row r="758" spans="10:12">
      <c r="J758" s="39" t="s">
        <v>82</v>
      </c>
      <c r="K758" s="40">
        <v>46077</v>
      </c>
      <c r="L758" s="39">
        <v>10</v>
      </c>
    </row>
    <row r="759" spans="10:12">
      <c r="J759" s="25" t="s">
        <v>72</v>
      </c>
      <c r="K759" s="32">
        <v>46077</v>
      </c>
      <c r="L759" s="25">
        <v>12</v>
      </c>
    </row>
    <row r="760" spans="10:12">
      <c r="J760" s="39" t="s">
        <v>70</v>
      </c>
      <c r="K760" s="40">
        <v>46077</v>
      </c>
      <c r="L760" s="39">
        <v>25</v>
      </c>
    </row>
    <row r="761" spans="10:12">
      <c r="J761" s="25" t="s">
        <v>46</v>
      </c>
      <c r="K761" s="32">
        <v>46077</v>
      </c>
      <c r="L761" s="25">
        <v>13</v>
      </c>
    </row>
    <row r="762" spans="10:12">
      <c r="J762" s="39" t="s">
        <v>96</v>
      </c>
      <c r="K762" s="40">
        <v>46077</v>
      </c>
      <c r="L762" s="39">
        <v>14</v>
      </c>
    </row>
    <row r="763" spans="10:12">
      <c r="J763" s="25" t="s">
        <v>82</v>
      </c>
      <c r="K763" s="32">
        <v>46077</v>
      </c>
      <c r="L763" s="25">
        <v>6</v>
      </c>
    </row>
    <row r="764" spans="10:12">
      <c r="J764" s="39" t="s">
        <v>28</v>
      </c>
      <c r="K764" s="40">
        <v>46077</v>
      </c>
      <c r="L764" s="39">
        <v>9</v>
      </c>
    </row>
    <row r="765" spans="10:12">
      <c r="J765" s="25" t="s">
        <v>67</v>
      </c>
      <c r="K765" s="32">
        <v>46077</v>
      </c>
      <c r="L765" s="25">
        <v>11</v>
      </c>
    </row>
    <row r="766" spans="10:12">
      <c r="J766" s="39" t="s">
        <v>61</v>
      </c>
      <c r="K766" s="40">
        <v>46077</v>
      </c>
      <c r="L766" s="39">
        <v>1</v>
      </c>
    </row>
    <row r="767" spans="10:12">
      <c r="J767" s="25" t="s">
        <v>100</v>
      </c>
      <c r="K767" s="32">
        <v>46077</v>
      </c>
      <c r="L767" s="25">
        <v>8</v>
      </c>
    </row>
    <row r="768" spans="10:12">
      <c r="J768" s="39" t="s">
        <v>18</v>
      </c>
      <c r="K768" s="40">
        <v>46077</v>
      </c>
      <c r="L768" s="39">
        <v>18</v>
      </c>
    </row>
    <row r="769" spans="10:12">
      <c r="J769" s="25" t="s">
        <v>82</v>
      </c>
      <c r="K769" s="32">
        <v>46077</v>
      </c>
      <c r="L769" s="25">
        <v>13</v>
      </c>
    </row>
    <row r="770" spans="10:12">
      <c r="J770" s="39" t="s">
        <v>80</v>
      </c>
      <c r="K770" s="40">
        <v>46077</v>
      </c>
      <c r="L770" s="39">
        <v>15</v>
      </c>
    </row>
    <row r="771" spans="10:12">
      <c r="J771" s="25" t="s">
        <v>55</v>
      </c>
      <c r="K771" s="32">
        <v>46077</v>
      </c>
      <c r="L771" s="25">
        <v>1</v>
      </c>
    </row>
    <row r="772" spans="10:12">
      <c r="J772" s="39" t="s">
        <v>74</v>
      </c>
      <c r="K772" s="40">
        <v>46077</v>
      </c>
      <c r="L772" s="39">
        <v>13</v>
      </c>
    </row>
    <row r="773" spans="10:12">
      <c r="J773" s="25" t="s">
        <v>80</v>
      </c>
      <c r="K773" s="32">
        <v>46077</v>
      </c>
      <c r="L773" s="25">
        <v>1</v>
      </c>
    </row>
    <row r="774" spans="10:12">
      <c r="J774" s="39" t="s">
        <v>28</v>
      </c>
      <c r="K774" s="40">
        <v>46078</v>
      </c>
      <c r="L774" s="39">
        <v>2</v>
      </c>
    </row>
    <row r="775" spans="10:12">
      <c r="J775" s="25" t="s">
        <v>76</v>
      </c>
      <c r="K775" s="32">
        <v>46078</v>
      </c>
      <c r="L775" s="25">
        <v>17</v>
      </c>
    </row>
    <row r="776" spans="10:12">
      <c r="J776" s="39" t="s">
        <v>23</v>
      </c>
      <c r="K776" s="40">
        <v>46078</v>
      </c>
      <c r="L776" s="39">
        <v>17</v>
      </c>
    </row>
    <row r="777" spans="10:12">
      <c r="J777" s="25" t="s">
        <v>35</v>
      </c>
      <c r="K777" s="32">
        <v>46078</v>
      </c>
      <c r="L777" s="25">
        <v>18</v>
      </c>
    </row>
    <row r="778" spans="10:12">
      <c r="J778" s="39" t="s">
        <v>43</v>
      </c>
      <c r="K778" s="40">
        <v>46078</v>
      </c>
      <c r="L778" s="39">
        <v>5</v>
      </c>
    </row>
    <row r="779" spans="10:12">
      <c r="J779" s="25" t="s">
        <v>74</v>
      </c>
      <c r="K779" s="32">
        <v>46078</v>
      </c>
      <c r="L779" s="25">
        <v>18</v>
      </c>
    </row>
    <row r="780" spans="10:12">
      <c r="J780" s="39" t="s">
        <v>78</v>
      </c>
      <c r="K780" s="40">
        <v>46078</v>
      </c>
      <c r="L780" s="39">
        <v>7</v>
      </c>
    </row>
    <row r="781" spans="10:12">
      <c r="J781" s="25" t="s">
        <v>94</v>
      </c>
      <c r="K781" s="32">
        <v>46078</v>
      </c>
      <c r="L781" s="25">
        <v>11</v>
      </c>
    </row>
    <row r="782" spans="10:12">
      <c r="J782" s="39" t="s">
        <v>90</v>
      </c>
      <c r="K782" s="40">
        <v>46078</v>
      </c>
      <c r="L782" s="39">
        <v>14</v>
      </c>
    </row>
    <row r="783" spans="10:12">
      <c r="J783" s="25" t="s">
        <v>65</v>
      </c>
      <c r="K783" s="32">
        <v>46078</v>
      </c>
      <c r="L783" s="25">
        <v>11</v>
      </c>
    </row>
    <row r="784" spans="10:12">
      <c r="J784" s="39" t="s">
        <v>63</v>
      </c>
      <c r="K784" s="40">
        <v>46078</v>
      </c>
      <c r="L784" s="39">
        <v>3</v>
      </c>
    </row>
    <row r="785" spans="10:12">
      <c r="J785" s="25" t="s">
        <v>76</v>
      </c>
      <c r="K785" s="32">
        <v>46078</v>
      </c>
      <c r="L785" s="25">
        <v>7</v>
      </c>
    </row>
    <row r="786" spans="10:12">
      <c r="J786" s="39" t="s">
        <v>80</v>
      </c>
      <c r="K786" s="40">
        <v>46078</v>
      </c>
      <c r="L786" s="39">
        <v>17</v>
      </c>
    </row>
    <row r="787" spans="10:12">
      <c r="J787" s="25" t="s">
        <v>84</v>
      </c>
      <c r="K787" s="32">
        <v>46078</v>
      </c>
      <c r="L787" s="25">
        <v>17</v>
      </c>
    </row>
    <row r="788" spans="10:12">
      <c r="J788" s="39" t="s">
        <v>82</v>
      </c>
      <c r="K788" s="40">
        <v>46078</v>
      </c>
      <c r="L788" s="39">
        <v>3</v>
      </c>
    </row>
    <row r="789" spans="10:12">
      <c r="J789" s="25" t="s">
        <v>74</v>
      </c>
      <c r="K789" s="32">
        <v>46078</v>
      </c>
      <c r="L789" s="25">
        <v>4</v>
      </c>
    </row>
    <row r="790" spans="10:12">
      <c r="J790" s="39" t="s">
        <v>18</v>
      </c>
      <c r="K790" s="40">
        <v>46078</v>
      </c>
      <c r="L790" s="39">
        <v>10</v>
      </c>
    </row>
    <row r="791" spans="10:12">
      <c r="J791" s="25" t="s">
        <v>98</v>
      </c>
      <c r="K791" s="32">
        <v>46079</v>
      </c>
      <c r="L791" s="25">
        <v>8</v>
      </c>
    </row>
    <row r="792" spans="10:12">
      <c r="J792" s="39" t="s">
        <v>74</v>
      </c>
      <c r="K792" s="40">
        <v>46079</v>
      </c>
      <c r="L792" s="39">
        <v>9</v>
      </c>
    </row>
    <row r="793" spans="10:12">
      <c r="J793" s="25" t="s">
        <v>94</v>
      </c>
      <c r="K793" s="32">
        <v>46079</v>
      </c>
      <c r="L793" s="25">
        <v>5</v>
      </c>
    </row>
    <row r="794" spans="10:12">
      <c r="J794" s="39" t="s">
        <v>78</v>
      </c>
      <c r="K794" s="40">
        <v>46079</v>
      </c>
      <c r="L794" s="39">
        <v>4</v>
      </c>
    </row>
    <row r="795" spans="10:12">
      <c r="J795" s="25" t="s">
        <v>49</v>
      </c>
      <c r="K795" s="32">
        <v>46079</v>
      </c>
      <c r="L795" s="25">
        <v>11</v>
      </c>
    </row>
    <row r="796" spans="10:12">
      <c r="J796" s="39" t="s">
        <v>74</v>
      </c>
      <c r="K796" s="40">
        <v>46079</v>
      </c>
      <c r="L796" s="39">
        <v>2</v>
      </c>
    </row>
    <row r="797" spans="10:12">
      <c r="J797" s="25" t="s">
        <v>70</v>
      </c>
      <c r="K797" s="32">
        <v>46079</v>
      </c>
      <c r="L797" s="25">
        <v>2</v>
      </c>
    </row>
    <row r="798" spans="10:12">
      <c r="J798" s="39" t="s">
        <v>35</v>
      </c>
      <c r="K798" s="40">
        <v>46079</v>
      </c>
      <c r="L798" s="39">
        <v>2</v>
      </c>
    </row>
    <row r="799" spans="10:12">
      <c r="J799" s="25" t="s">
        <v>82</v>
      </c>
      <c r="K799" s="32">
        <v>46079</v>
      </c>
      <c r="L799" s="25">
        <v>2</v>
      </c>
    </row>
    <row r="800" spans="10:12">
      <c r="J800" s="39" t="s">
        <v>80</v>
      </c>
      <c r="K800" s="40">
        <v>46080</v>
      </c>
      <c r="L800" s="39">
        <v>17</v>
      </c>
    </row>
    <row r="801" spans="10:12">
      <c r="J801" s="25" t="s">
        <v>61</v>
      </c>
      <c r="K801" s="32">
        <v>46080</v>
      </c>
      <c r="L801" s="25">
        <v>20</v>
      </c>
    </row>
    <row r="802" spans="10:12">
      <c r="J802" s="39" t="s">
        <v>84</v>
      </c>
      <c r="K802" s="40">
        <v>46080</v>
      </c>
      <c r="L802" s="39">
        <v>17</v>
      </c>
    </row>
    <row r="803" spans="10:12">
      <c r="J803" s="25" t="s">
        <v>70</v>
      </c>
      <c r="K803" s="32">
        <v>46080</v>
      </c>
      <c r="L803" s="25">
        <v>23</v>
      </c>
    </row>
    <row r="804" spans="10:12">
      <c r="J804" s="39" t="s">
        <v>74</v>
      </c>
      <c r="K804" s="40">
        <v>46080</v>
      </c>
      <c r="L804" s="39">
        <v>14</v>
      </c>
    </row>
    <row r="805" spans="10:12">
      <c r="J805" s="25" t="s">
        <v>38</v>
      </c>
      <c r="K805" s="32">
        <v>46080</v>
      </c>
      <c r="L805" s="25">
        <v>23</v>
      </c>
    </row>
    <row r="806" spans="10:12">
      <c r="J806" s="39" t="s">
        <v>43</v>
      </c>
      <c r="K806" s="40">
        <v>46080</v>
      </c>
      <c r="L806" s="39">
        <v>16</v>
      </c>
    </row>
    <row r="807" spans="10:12">
      <c r="J807" s="25" t="s">
        <v>43</v>
      </c>
      <c r="K807" s="32">
        <v>46080</v>
      </c>
      <c r="L807" s="25">
        <v>13</v>
      </c>
    </row>
    <row r="808" spans="10:12">
      <c r="J808" s="39" t="s">
        <v>61</v>
      </c>
      <c r="K808" s="40">
        <v>46080</v>
      </c>
      <c r="L808" s="39">
        <v>5</v>
      </c>
    </row>
    <row r="809" spans="10:12">
      <c r="J809" s="25" t="s">
        <v>43</v>
      </c>
      <c r="K809" s="32">
        <v>46080</v>
      </c>
      <c r="L809" s="25">
        <v>5</v>
      </c>
    </row>
    <row r="810" spans="10:12">
      <c r="J810" s="39" t="s">
        <v>72</v>
      </c>
      <c r="K810" s="40">
        <v>46080</v>
      </c>
      <c r="L810" s="39">
        <v>12</v>
      </c>
    </row>
    <row r="811" spans="10:12">
      <c r="J811" s="25" t="s">
        <v>40</v>
      </c>
      <c r="K811" s="32">
        <v>46080</v>
      </c>
      <c r="L811" s="25">
        <v>16</v>
      </c>
    </row>
    <row r="812" spans="10:12">
      <c r="J812" s="39" t="s">
        <v>40</v>
      </c>
      <c r="K812" s="40">
        <v>46080</v>
      </c>
      <c r="L812" s="39">
        <v>1</v>
      </c>
    </row>
    <row r="813" spans="10:12">
      <c r="J813" s="25" t="s">
        <v>51</v>
      </c>
      <c r="K813" s="32">
        <v>46080</v>
      </c>
      <c r="L813" s="25">
        <v>4</v>
      </c>
    </row>
    <row r="814" spans="10:12">
      <c r="J814" s="39" t="s">
        <v>51</v>
      </c>
      <c r="K814" s="40">
        <v>46081</v>
      </c>
      <c r="L814" s="39">
        <v>6</v>
      </c>
    </row>
    <row r="815" spans="10:12">
      <c r="J815" s="25" t="s">
        <v>28</v>
      </c>
      <c r="K815" s="32">
        <v>46081</v>
      </c>
      <c r="L815" s="25">
        <v>17</v>
      </c>
    </row>
    <row r="816" spans="10:12">
      <c r="J816" s="39" t="s">
        <v>74</v>
      </c>
      <c r="K816" s="40">
        <v>46081</v>
      </c>
      <c r="L816" s="39">
        <v>28</v>
      </c>
    </row>
    <row r="817" spans="10:12">
      <c r="J817" s="25" t="s">
        <v>49</v>
      </c>
      <c r="K817" s="32">
        <v>46081</v>
      </c>
      <c r="L817" s="25">
        <v>2</v>
      </c>
    </row>
    <row r="818" spans="10:12">
      <c r="J818" s="39" t="s">
        <v>98</v>
      </c>
      <c r="K818" s="40">
        <v>46081</v>
      </c>
      <c r="L818" s="39">
        <v>1</v>
      </c>
    </row>
    <row r="819" spans="10:12">
      <c r="J819" s="25" t="s">
        <v>86</v>
      </c>
      <c r="K819" s="32">
        <v>46081</v>
      </c>
      <c r="L819" s="25">
        <v>35</v>
      </c>
    </row>
    <row r="820" spans="10:12">
      <c r="J820" s="39" t="s">
        <v>86</v>
      </c>
      <c r="K820" s="40">
        <v>46081</v>
      </c>
      <c r="L820" s="39">
        <v>14</v>
      </c>
    </row>
    <row r="821" spans="10:12">
      <c r="J821" s="25" t="s">
        <v>40</v>
      </c>
      <c r="K821" s="32">
        <v>46081</v>
      </c>
      <c r="L821" s="25">
        <v>13</v>
      </c>
    </row>
    <row r="822" spans="10:12">
      <c r="J822" s="39" t="s">
        <v>84</v>
      </c>
      <c r="K822" s="40">
        <v>46081</v>
      </c>
      <c r="L822" s="39">
        <v>13</v>
      </c>
    </row>
    <row r="823" spans="10:12">
      <c r="J823" s="25" t="s">
        <v>80</v>
      </c>
      <c r="K823" s="32">
        <v>46081</v>
      </c>
      <c r="L823" s="25">
        <v>4</v>
      </c>
    </row>
    <row r="824" spans="10:12">
      <c r="J824" s="39" t="s">
        <v>80</v>
      </c>
      <c r="K824" s="40">
        <v>46081</v>
      </c>
      <c r="L824" s="39">
        <v>11</v>
      </c>
    </row>
    <row r="825" spans="10:12">
      <c r="J825" s="25" t="s">
        <v>96</v>
      </c>
      <c r="K825" s="32">
        <v>46081</v>
      </c>
      <c r="L825" s="25">
        <v>11</v>
      </c>
    </row>
    <row r="826" spans="10:12">
      <c r="J826" s="39" t="s">
        <v>84</v>
      </c>
      <c r="K826" s="40">
        <v>46082</v>
      </c>
      <c r="L826" s="39">
        <v>24</v>
      </c>
    </row>
    <row r="827" spans="10:12">
      <c r="J827" s="25" t="s">
        <v>96</v>
      </c>
      <c r="K827" s="32">
        <v>46082</v>
      </c>
      <c r="L827" s="25">
        <v>9</v>
      </c>
    </row>
    <row r="828" spans="10:12">
      <c r="J828" s="39" t="s">
        <v>84</v>
      </c>
      <c r="K828" s="40">
        <v>46082</v>
      </c>
      <c r="L828" s="39">
        <v>16</v>
      </c>
    </row>
    <row r="829" spans="10:12">
      <c r="J829" s="25" t="s">
        <v>11</v>
      </c>
      <c r="K829" s="32">
        <v>46082</v>
      </c>
      <c r="L829" s="25">
        <v>10</v>
      </c>
    </row>
    <row r="830" spans="10:12">
      <c r="J830" s="39" t="s">
        <v>58</v>
      </c>
      <c r="K830" s="40">
        <v>46082</v>
      </c>
      <c r="L830" s="39">
        <v>8</v>
      </c>
    </row>
    <row r="831" spans="10:12">
      <c r="J831" s="25" t="s">
        <v>23</v>
      </c>
      <c r="K831" s="32">
        <v>46082</v>
      </c>
      <c r="L831" s="25">
        <v>8</v>
      </c>
    </row>
    <row r="832" spans="10:12">
      <c r="J832" s="39" t="s">
        <v>84</v>
      </c>
      <c r="K832" s="40">
        <v>46082</v>
      </c>
      <c r="L832" s="39">
        <v>22</v>
      </c>
    </row>
    <row r="833" spans="10:12">
      <c r="J833" s="25" t="s">
        <v>70</v>
      </c>
      <c r="K833" s="32">
        <v>46082</v>
      </c>
      <c r="L833" s="25">
        <v>4</v>
      </c>
    </row>
    <row r="834" spans="10:12">
      <c r="J834" s="39" t="s">
        <v>94</v>
      </c>
      <c r="K834" s="40">
        <v>46082</v>
      </c>
      <c r="L834" s="39">
        <v>6</v>
      </c>
    </row>
    <row r="835" spans="10:12">
      <c r="J835" s="25" t="s">
        <v>11</v>
      </c>
      <c r="K835" s="32">
        <v>46082</v>
      </c>
      <c r="L835" s="25">
        <v>14</v>
      </c>
    </row>
    <row r="836" spans="10:12">
      <c r="J836" s="39" t="s">
        <v>35</v>
      </c>
      <c r="K836" s="40">
        <v>46082</v>
      </c>
      <c r="L836" s="39">
        <v>2</v>
      </c>
    </row>
    <row r="837" spans="10:12">
      <c r="J837" s="25" t="s">
        <v>11</v>
      </c>
      <c r="K837" s="32">
        <v>46083</v>
      </c>
      <c r="L837" s="25">
        <v>2</v>
      </c>
    </row>
    <row r="838" spans="10:12">
      <c r="J838" s="39" t="s">
        <v>49</v>
      </c>
      <c r="K838" s="40">
        <v>46083</v>
      </c>
      <c r="L838" s="39">
        <v>17</v>
      </c>
    </row>
    <row r="839" spans="10:12">
      <c r="J839" s="25" t="s">
        <v>74</v>
      </c>
      <c r="K839" s="32">
        <v>46083</v>
      </c>
      <c r="L839" s="25">
        <v>6</v>
      </c>
    </row>
    <row r="840" spans="10:12">
      <c r="J840" s="39" t="s">
        <v>49</v>
      </c>
      <c r="K840" s="40">
        <v>46083</v>
      </c>
      <c r="L840" s="39">
        <v>27</v>
      </c>
    </row>
    <row r="841" spans="10:12">
      <c r="J841" s="25" t="s">
        <v>84</v>
      </c>
      <c r="K841" s="32">
        <v>46083</v>
      </c>
      <c r="L841" s="25">
        <v>9</v>
      </c>
    </row>
    <row r="842" spans="10:12">
      <c r="J842" s="39" t="s">
        <v>43</v>
      </c>
      <c r="K842" s="40">
        <v>46083</v>
      </c>
      <c r="L842" s="39">
        <v>2</v>
      </c>
    </row>
    <row r="843" spans="10:12">
      <c r="J843" s="25" t="s">
        <v>90</v>
      </c>
      <c r="K843" s="32">
        <v>46083</v>
      </c>
      <c r="L843" s="25">
        <v>12</v>
      </c>
    </row>
    <row r="844" spans="10:12">
      <c r="J844" s="39" t="s">
        <v>35</v>
      </c>
      <c r="K844" s="40">
        <v>46083</v>
      </c>
      <c r="L844" s="39">
        <v>2</v>
      </c>
    </row>
    <row r="845" spans="10:12">
      <c r="J845" s="25" t="s">
        <v>31</v>
      </c>
      <c r="K845" s="32">
        <v>46083</v>
      </c>
      <c r="L845" s="25">
        <v>10</v>
      </c>
    </row>
    <row r="846" spans="10:12">
      <c r="J846" s="39" t="s">
        <v>61</v>
      </c>
      <c r="K846" s="40">
        <v>46083</v>
      </c>
      <c r="L846" s="39">
        <v>9</v>
      </c>
    </row>
    <row r="847" spans="10:12">
      <c r="J847" s="25" t="s">
        <v>76</v>
      </c>
      <c r="K847" s="32">
        <v>46083</v>
      </c>
      <c r="L847" s="25">
        <v>5</v>
      </c>
    </row>
    <row r="848" spans="10:12">
      <c r="J848" s="39" t="s">
        <v>63</v>
      </c>
      <c r="K848" s="40">
        <v>46083</v>
      </c>
      <c r="L848" s="39">
        <v>29</v>
      </c>
    </row>
    <row r="849" spans="10:12">
      <c r="J849" s="25" t="s">
        <v>96</v>
      </c>
      <c r="K849" s="32">
        <v>46083</v>
      </c>
      <c r="L849" s="25">
        <v>8</v>
      </c>
    </row>
    <row r="850" spans="10:12">
      <c r="J850" s="39" t="s">
        <v>11</v>
      </c>
      <c r="K850" s="40">
        <v>46084</v>
      </c>
      <c r="L850" s="39">
        <v>4</v>
      </c>
    </row>
    <row r="851" spans="10:12">
      <c r="J851" s="25" t="s">
        <v>72</v>
      </c>
      <c r="K851" s="32">
        <v>46084</v>
      </c>
      <c r="L851" s="25">
        <v>12</v>
      </c>
    </row>
    <row r="852" spans="10:12">
      <c r="J852" s="39" t="s">
        <v>61</v>
      </c>
      <c r="K852" s="40">
        <v>46084</v>
      </c>
      <c r="L852" s="39">
        <v>1</v>
      </c>
    </row>
    <row r="853" spans="10:12">
      <c r="J853" s="25" t="s">
        <v>61</v>
      </c>
      <c r="K853" s="32">
        <v>46084</v>
      </c>
      <c r="L853" s="25">
        <v>16</v>
      </c>
    </row>
    <row r="854" spans="10:12">
      <c r="J854" s="39" t="s">
        <v>31</v>
      </c>
      <c r="K854" s="40">
        <v>46084</v>
      </c>
      <c r="L854" s="39">
        <v>5</v>
      </c>
    </row>
    <row r="855" spans="10:12">
      <c r="J855" s="25" t="s">
        <v>65</v>
      </c>
      <c r="K855" s="32">
        <v>46084</v>
      </c>
      <c r="L855" s="25">
        <v>9</v>
      </c>
    </row>
    <row r="856" spans="10:12">
      <c r="J856" s="39" t="s">
        <v>35</v>
      </c>
      <c r="K856" s="40">
        <v>46084</v>
      </c>
      <c r="L856" s="39">
        <v>16</v>
      </c>
    </row>
    <row r="857" spans="10:12">
      <c r="J857" s="25" t="s">
        <v>82</v>
      </c>
      <c r="K857" s="32">
        <v>46084</v>
      </c>
      <c r="L857" s="25">
        <v>3</v>
      </c>
    </row>
    <row r="858" spans="10:12">
      <c r="J858" s="39" t="s">
        <v>61</v>
      </c>
      <c r="K858" s="40">
        <v>46084</v>
      </c>
      <c r="L858" s="39">
        <v>21</v>
      </c>
    </row>
    <row r="859" spans="10:12">
      <c r="J859" s="25" t="s">
        <v>84</v>
      </c>
      <c r="K859" s="32">
        <v>46084</v>
      </c>
      <c r="L859" s="25">
        <v>8</v>
      </c>
    </row>
    <row r="860" spans="10:12">
      <c r="J860" s="39" t="s">
        <v>72</v>
      </c>
      <c r="K860" s="40">
        <v>46084</v>
      </c>
      <c r="L860" s="39">
        <v>19</v>
      </c>
    </row>
    <row r="861" spans="10:12">
      <c r="J861" s="25" t="s">
        <v>51</v>
      </c>
      <c r="K861" s="32">
        <v>46084</v>
      </c>
      <c r="L861" s="25">
        <v>10</v>
      </c>
    </row>
    <row r="862" spans="10:12">
      <c r="J862" s="39" t="s">
        <v>90</v>
      </c>
      <c r="K862" s="40">
        <v>46084</v>
      </c>
      <c r="L862" s="39">
        <v>23</v>
      </c>
    </row>
    <row r="863" spans="10:12">
      <c r="J863" s="25" t="s">
        <v>90</v>
      </c>
      <c r="K863" s="32">
        <v>46084</v>
      </c>
      <c r="L863" s="25">
        <v>13</v>
      </c>
    </row>
    <row r="864" spans="10:12">
      <c r="J864" s="39" t="s">
        <v>38</v>
      </c>
      <c r="K864" s="40">
        <v>46084</v>
      </c>
      <c r="L864" s="39">
        <v>6</v>
      </c>
    </row>
    <row r="865" spans="10:12">
      <c r="J865" s="25" t="s">
        <v>61</v>
      </c>
      <c r="K865" s="32">
        <v>46084</v>
      </c>
      <c r="L865" s="25">
        <v>5</v>
      </c>
    </row>
    <row r="866" spans="10:12">
      <c r="J866" s="39" t="s">
        <v>61</v>
      </c>
      <c r="K866" s="40">
        <v>46084</v>
      </c>
      <c r="L866" s="39">
        <v>22</v>
      </c>
    </row>
    <row r="867" spans="10:12">
      <c r="J867" s="25" t="s">
        <v>61</v>
      </c>
      <c r="K867" s="32">
        <v>46084</v>
      </c>
      <c r="L867" s="25">
        <v>3</v>
      </c>
    </row>
    <row r="868" spans="10:12">
      <c r="J868" s="39" t="s">
        <v>40</v>
      </c>
      <c r="K868" s="40">
        <v>46085</v>
      </c>
      <c r="L868" s="39">
        <v>2</v>
      </c>
    </row>
    <row r="869" spans="10:12">
      <c r="J869" s="25" t="s">
        <v>63</v>
      </c>
      <c r="K869" s="32">
        <v>46085</v>
      </c>
      <c r="L869" s="25">
        <v>8</v>
      </c>
    </row>
    <row r="870" spans="10:12">
      <c r="J870" s="39" t="s">
        <v>53</v>
      </c>
      <c r="K870" s="40">
        <v>46085</v>
      </c>
      <c r="L870" s="39">
        <v>12</v>
      </c>
    </row>
    <row r="871" spans="10:12">
      <c r="J871" s="25" t="s">
        <v>18</v>
      </c>
      <c r="K871" s="32">
        <v>46085</v>
      </c>
      <c r="L871" s="25">
        <v>12</v>
      </c>
    </row>
    <row r="872" spans="10:12">
      <c r="J872" s="39" t="s">
        <v>28</v>
      </c>
      <c r="K872" s="40">
        <v>46085</v>
      </c>
      <c r="L872" s="39">
        <v>5</v>
      </c>
    </row>
    <row r="873" spans="10:12">
      <c r="J873" s="25" t="s">
        <v>94</v>
      </c>
      <c r="K873" s="32">
        <v>46085</v>
      </c>
      <c r="L873" s="25">
        <v>18</v>
      </c>
    </row>
    <row r="874" spans="10:12">
      <c r="J874" s="39" t="s">
        <v>72</v>
      </c>
      <c r="K874" s="40">
        <v>46085</v>
      </c>
      <c r="L874" s="39">
        <v>6</v>
      </c>
    </row>
    <row r="875" spans="10:12">
      <c r="J875" s="25" t="s">
        <v>28</v>
      </c>
      <c r="K875" s="32">
        <v>46085</v>
      </c>
      <c r="L875" s="25">
        <v>2</v>
      </c>
    </row>
    <row r="876" spans="10:12">
      <c r="J876" s="39" t="s">
        <v>35</v>
      </c>
      <c r="K876" s="40">
        <v>46085</v>
      </c>
      <c r="L876" s="39">
        <v>2</v>
      </c>
    </row>
    <row r="877" spans="10:12">
      <c r="J877" s="25" t="s">
        <v>46</v>
      </c>
      <c r="K877" s="32">
        <v>46085</v>
      </c>
      <c r="L877" s="25">
        <v>7</v>
      </c>
    </row>
    <row r="878" spans="10:12">
      <c r="J878" s="39" t="s">
        <v>76</v>
      </c>
      <c r="K878" s="40">
        <v>46086</v>
      </c>
      <c r="L878" s="39">
        <v>23</v>
      </c>
    </row>
    <row r="879" spans="10:12">
      <c r="J879" s="25" t="s">
        <v>28</v>
      </c>
      <c r="K879" s="32">
        <v>46086</v>
      </c>
      <c r="L879" s="25">
        <v>20</v>
      </c>
    </row>
    <row r="880" spans="10:12">
      <c r="J880" s="39" t="s">
        <v>58</v>
      </c>
      <c r="K880" s="40">
        <v>46086</v>
      </c>
      <c r="L880" s="39">
        <v>19</v>
      </c>
    </row>
    <row r="881" spans="10:12">
      <c r="J881" s="25" t="s">
        <v>74</v>
      </c>
      <c r="K881" s="32">
        <v>46086</v>
      </c>
      <c r="L881" s="25">
        <v>5</v>
      </c>
    </row>
    <row r="882" spans="10:12">
      <c r="J882" s="39" t="s">
        <v>38</v>
      </c>
      <c r="K882" s="40">
        <v>46086</v>
      </c>
      <c r="L882" s="39">
        <v>13</v>
      </c>
    </row>
    <row r="883" spans="10:12">
      <c r="J883" s="25" t="s">
        <v>11</v>
      </c>
      <c r="K883" s="32">
        <v>46086</v>
      </c>
      <c r="L883" s="25">
        <v>12</v>
      </c>
    </row>
    <row r="884" spans="10:12">
      <c r="J884" s="39" t="s">
        <v>80</v>
      </c>
      <c r="K884" s="40">
        <v>46086</v>
      </c>
      <c r="L884" s="39">
        <v>2</v>
      </c>
    </row>
    <row r="885" spans="10:12">
      <c r="J885" s="25" t="s">
        <v>35</v>
      </c>
      <c r="K885" s="32">
        <v>46086</v>
      </c>
      <c r="L885" s="25">
        <v>1</v>
      </c>
    </row>
    <row r="886" spans="10:12">
      <c r="J886" s="39" t="s">
        <v>35</v>
      </c>
      <c r="K886" s="40">
        <v>46086</v>
      </c>
      <c r="L886" s="39">
        <v>16</v>
      </c>
    </row>
    <row r="887" spans="10:12">
      <c r="J887" s="25" t="s">
        <v>84</v>
      </c>
      <c r="K887" s="32">
        <v>46086</v>
      </c>
      <c r="L887" s="25">
        <v>2</v>
      </c>
    </row>
    <row r="888" spans="10:12">
      <c r="J888" s="39" t="s">
        <v>23</v>
      </c>
      <c r="K888" s="40">
        <v>46086</v>
      </c>
      <c r="L888" s="39">
        <v>15</v>
      </c>
    </row>
    <row r="889" spans="10:12">
      <c r="J889" s="25" t="s">
        <v>88</v>
      </c>
      <c r="K889" s="32">
        <v>46086</v>
      </c>
      <c r="L889" s="25">
        <v>13</v>
      </c>
    </row>
    <row r="890" spans="10:12">
      <c r="J890" s="39" t="s">
        <v>100</v>
      </c>
      <c r="K890" s="40">
        <v>46087</v>
      </c>
      <c r="L890" s="39">
        <v>14</v>
      </c>
    </row>
    <row r="891" spans="10:12">
      <c r="J891" s="25" t="s">
        <v>43</v>
      </c>
      <c r="K891" s="32">
        <v>46087</v>
      </c>
      <c r="L891" s="25">
        <v>3</v>
      </c>
    </row>
    <row r="892" spans="10:12">
      <c r="J892" s="39" t="s">
        <v>88</v>
      </c>
      <c r="K892" s="40">
        <v>46087</v>
      </c>
      <c r="L892" s="39">
        <v>6</v>
      </c>
    </row>
    <row r="893" spans="10:12">
      <c r="J893" s="25" t="s">
        <v>38</v>
      </c>
      <c r="K893" s="32">
        <v>46087</v>
      </c>
      <c r="L893" s="25">
        <v>12</v>
      </c>
    </row>
    <row r="894" spans="10:12">
      <c r="J894" s="39" t="s">
        <v>98</v>
      </c>
      <c r="K894" s="40">
        <v>46087</v>
      </c>
      <c r="L894" s="39">
        <v>5</v>
      </c>
    </row>
    <row r="895" spans="10:12">
      <c r="J895" s="25" t="s">
        <v>98</v>
      </c>
      <c r="K895" s="32">
        <v>46087</v>
      </c>
      <c r="L895" s="25">
        <v>8</v>
      </c>
    </row>
    <row r="896" spans="10:12">
      <c r="J896" s="39" t="s">
        <v>18</v>
      </c>
      <c r="K896" s="40">
        <v>46087</v>
      </c>
      <c r="L896" s="39">
        <v>4</v>
      </c>
    </row>
    <row r="897" spans="10:12">
      <c r="J897" s="25" t="s">
        <v>84</v>
      </c>
      <c r="K897" s="32">
        <v>46087</v>
      </c>
      <c r="L897" s="25">
        <v>7</v>
      </c>
    </row>
    <row r="898" spans="10:12">
      <c r="J898" s="39" t="s">
        <v>43</v>
      </c>
      <c r="K898" s="40">
        <v>46087</v>
      </c>
      <c r="L898" s="39">
        <v>6</v>
      </c>
    </row>
    <row r="899" spans="10:12">
      <c r="J899" s="25" t="s">
        <v>72</v>
      </c>
      <c r="K899" s="32">
        <v>46087</v>
      </c>
      <c r="L899" s="25">
        <v>13</v>
      </c>
    </row>
    <row r="900" spans="10:12">
      <c r="J900" s="39" t="s">
        <v>72</v>
      </c>
      <c r="K900" s="40">
        <v>46087</v>
      </c>
      <c r="L900" s="39">
        <v>2</v>
      </c>
    </row>
    <row r="901" spans="10:12">
      <c r="J901" s="25" t="s">
        <v>100</v>
      </c>
      <c r="K901" s="32">
        <v>46087</v>
      </c>
      <c r="L901" s="25">
        <v>15</v>
      </c>
    </row>
    <row r="902" spans="10:12">
      <c r="J902" s="39" t="s">
        <v>35</v>
      </c>
      <c r="K902" s="40">
        <v>46087</v>
      </c>
      <c r="L902" s="39">
        <v>9</v>
      </c>
    </row>
    <row r="903" spans="10:12">
      <c r="J903" s="25" t="s">
        <v>98</v>
      </c>
      <c r="K903" s="32">
        <v>46087</v>
      </c>
      <c r="L903" s="25">
        <v>2</v>
      </c>
    </row>
    <row r="904" spans="10:12">
      <c r="J904" s="39" t="s">
        <v>96</v>
      </c>
      <c r="K904" s="40">
        <v>46087</v>
      </c>
      <c r="L904" s="39">
        <v>2</v>
      </c>
    </row>
    <row r="905" spans="10:12">
      <c r="J905" s="25" t="s">
        <v>90</v>
      </c>
      <c r="K905" s="32">
        <v>46087</v>
      </c>
      <c r="L905" s="25">
        <v>7</v>
      </c>
    </row>
    <row r="906" spans="10:12">
      <c r="J906" s="39" t="s">
        <v>46</v>
      </c>
      <c r="K906" s="40">
        <v>46087</v>
      </c>
      <c r="L906" s="39">
        <v>12</v>
      </c>
    </row>
    <row r="907" spans="10:12">
      <c r="J907" s="25" t="s">
        <v>61</v>
      </c>
      <c r="K907" s="32">
        <v>46088</v>
      </c>
      <c r="L907" s="25">
        <v>14</v>
      </c>
    </row>
    <row r="908" spans="10:12">
      <c r="J908" s="39" t="s">
        <v>58</v>
      </c>
      <c r="K908" s="40">
        <v>46088</v>
      </c>
      <c r="L908" s="39">
        <v>12</v>
      </c>
    </row>
    <row r="909" spans="10:12">
      <c r="J909" s="25" t="s">
        <v>40</v>
      </c>
      <c r="K909" s="32">
        <v>46088</v>
      </c>
      <c r="L909" s="25">
        <v>5</v>
      </c>
    </row>
    <row r="910" spans="10:12">
      <c r="J910" s="39" t="s">
        <v>67</v>
      </c>
      <c r="K910" s="40">
        <v>46088</v>
      </c>
      <c r="L910" s="39">
        <v>24</v>
      </c>
    </row>
    <row r="911" spans="10:12">
      <c r="J911" s="25" t="s">
        <v>31</v>
      </c>
      <c r="K911" s="32">
        <v>46088</v>
      </c>
      <c r="L911" s="25">
        <v>15</v>
      </c>
    </row>
    <row r="912" spans="10:12">
      <c r="J912" s="39" t="s">
        <v>67</v>
      </c>
      <c r="K912" s="40">
        <v>46088</v>
      </c>
      <c r="L912" s="39">
        <v>22</v>
      </c>
    </row>
    <row r="913" spans="10:12">
      <c r="J913" s="25" t="s">
        <v>84</v>
      </c>
      <c r="K913" s="32">
        <v>46088</v>
      </c>
      <c r="L913" s="25">
        <v>3</v>
      </c>
    </row>
    <row r="914" spans="10:12">
      <c r="J914" s="39" t="s">
        <v>76</v>
      </c>
      <c r="K914" s="40">
        <v>46088</v>
      </c>
      <c r="L914" s="39">
        <v>3</v>
      </c>
    </row>
    <row r="915" spans="10:12">
      <c r="J915" s="25" t="s">
        <v>82</v>
      </c>
      <c r="K915" s="32">
        <v>46088</v>
      </c>
      <c r="L915" s="25">
        <v>4</v>
      </c>
    </row>
    <row r="916" spans="10:12">
      <c r="J916" s="39" t="s">
        <v>53</v>
      </c>
      <c r="K916" s="40">
        <v>46088</v>
      </c>
      <c r="L916" s="39">
        <v>5</v>
      </c>
    </row>
    <row r="917" spans="10:12">
      <c r="J917" s="25" t="s">
        <v>61</v>
      </c>
      <c r="K917" s="32">
        <v>46089</v>
      </c>
      <c r="L917" s="25">
        <v>1</v>
      </c>
    </row>
    <row r="918" spans="10:12">
      <c r="J918" s="39" t="s">
        <v>86</v>
      </c>
      <c r="K918" s="40">
        <v>46089</v>
      </c>
      <c r="L918" s="39">
        <v>7</v>
      </c>
    </row>
    <row r="919" spans="10:12">
      <c r="J919" s="25" t="s">
        <v>49</v>
      </c>
      <c r="K919" s="32">
        <v>46089</v>
      </c>
      <c r="L919" s="25">
        <v>2</v>
      </c>
    </row>
    <row r="920" spans="10:12">
      <c r="J920" s="39" t="s">
        <v>43</v>
      </c>
      <c r="K920" s="40">
        <v>46089</v>
      </c>
      <c r="L920" s="39">
        <v>1</v>
      </c>
    </row>
    <row r="921" spans="10:12">
      <c r="J921" s="25" t="s">
        <v>72</v>
      </c>
      <c r="K921" s="32">
        <v>46089</v>
      </c>
      <c r="L921" s="25">
        <v>12</v>
      </c>
    </row>
    <row r="922" spans="10:12">
      <c r="J922" s="39" t="s">
        <v>84</v>
      </c>
      <c r="K922" s="40">
        <v>46089</v>
      </c>
      <c r="L922" s="39">
        <v>5</v>
      </c>
    </row>
    <row r="923" spans="10:12">
      <c r="J923" s="25" t="s">
        <v>74</v>
      </c>
      <c r="K923" s="32">
        <v>46089</v>
      </c>
      <c r="L923" s="25">
        <v>17</v>
      </c>
    </row>
    <row r="924" spans="10:12">
      <c r="J924" s="39" t="s">
        <v>82</v>
      </c>
      <c r="K924" s="40">
        <v>46089</v>
      </c>
      <c r="L924" s="39">
        <v>15</v>
      </c>
    </row>
    <row r="925" spans="10:12">
      <c r="J925" s="25" t="s">
        <v>100</v>
      </c>
      <c r="K925" s="32">
        <v>46089</v>
      </c>
      <c r="L925" s="25">
        <v>7</v>
      </c>
    </row>
    <row r="926" spans="10:12">
      <c r="J926" s="39" t="s">
        <v>55</v>
      </c>
      <c r="K926" s="40">
        <v>46089</v>
      </c>
      <c r="L926" s="39">
        <v>12</v>
      </c>
    </row>
    <row r="927" spans="10:12">
      <c r="J927" s="25" t="s">
        <v>84</v>
      </c>
      <c r="K927" s="32">
        <v>46089</v>
      </c>
      <c r="L927" s="25">
        <v>9</v>
      </c>
    </row>
    <row r="928" spans="10:12">
      <c r="J928" s="39" t="s">
        <v>98</v>
      </c>
      <c r="K928" s="40">
        <v>46089</v>
      </c>
      <c r="L928" s="39">
        <v>3</v>
      </c>
    </row>
    <row r="929" spans="10:12">
      <c r="J929" s="25" t="s">
        <v>51</v>
      </c>
      <c r="K929" s="32">
        <v>46089</v>
      </c>
      <c r="L929" s="25">
        <v>12</v>
      </c>
    </row>
    <row r="930" spans="10:12">
      <c r="J930" s="39" t="s">
        <v>23</v>
      </c>
      <c r="K930" s="40">
        <v>46089</v>
      </c>
      <c r="L930" s="39">
        <v>2</v>
      </c>
    </row>
    <row r="931" spans="10:12">
      <c r="J931" s="25" t="s">
        <v>23</v>
      </c>
      <c r="K931" s="32">
        <v>46089</v>
      </c>
      <c r="L931" s="25">
        <v>4</v>
      </c>
    </row>
    <row r="932" spans="10:12">
      <c r="J932" s="39" t="s">
        <v>72</v>
      </c>
      <c r="K932" s="40">
        <v>46089</v>
      </c>
      <c r="L932" s="39">
        <v>15</v>
      </c>
    </row>
    <row r="933" spans="10:12">
      <c r="J933" s="25" t="s">
        <v>78</v>
      </c>
      <c r="K933" s="32">
        <v>46089</v>
      </c>
      <c r="L933" s="25">
        <v>4</v>
      </c>
    </row>
    <row r="934" spans="10:12">
      <c r="J934" s="39" t="s">
        <v>35</v>
      </c>
      <c r="K934" s="40">
        <v>46089</v>
      </c>
      <c r="L934" s="39">
        <v>1</v>
      </c>
    </row>
    <row r="935" spans="10:12">
      <c r="J935" s="25" t="s">
        <v>11</v>
      </c>
      <c r="K935" s="32">
        <v>46089</v>
      </c>
      <c r="L935" s="25">
        <v>4</v>
      </c>
    </row>
    <row r="936" spans="10:12">
      <c r="J936" s="39" t="s">
        <v>23</v>
      </c>
      <c r="K936" s="40">
        <v>46089</v>
      </c>
      <c r="L936" s="39">
        <v>10</v>
      </c>
    </row>
    <row r="937" spans="10:12">
      <c r="J937" s="25" t="s">
        <v>92</v>
      </c>
      <c r="K937" s="32">
        <v>46089</v>
      </c>
      <c r="L937" s="25">
        <v>4</v>
      </c>
    </row>
    <row r="938" spans="10:12">
      <c r="J938" s="39" t="s">
        <v>18</v>
      </c>
      <c r="K938" s="40">
        <v>46090</v>
      </c>
      <c r="L938" s="39">
        <v>4</v>
      </c>
    </row>
    <row r="939" spans="10:12">
      <c r="J939" s="25" t="s">
        <v>98</v>
      </c>
      <c r="K939" s="32">
        <v>46090</v>
      </c>
      <c r="L939" s="25">
        <v>14</v>
      </c>
    </row>
    <row r="940" spans="10:12">
      <c r="J940" s="39" t="s">
        <v>92</v>
      </c>
      <c r="K940" s="40">
        <v>46090</v>
      </c>
      <c r="L940" s="39">
        <v>13</v>
      </c>
    </row>
    <row r="941" spans="10:12">
      <c r="J941" s="25" t="s">
        <v>74</v>
      </c>
      <c r="K941" s="32">
        <v>46090</v>
      </c>
      <c r="L941" s="25">
        <v>1</v>
      </c>
    </row>
    <row r="942" spans="10:12">
      <c r="J942" s="39" t="s">
        <v>40</v>
      </c>
      <c r="K942" s="40">
        <v>46090</v>
      </c>
      <c r="L942" s="39">
        <v>9</v>
      </c>
    </row>
    <row r="943" spans="10:12">
      <c r="J943" s="25" t="s">
        <v>38</v>
      </c>
      <c r="K943" s="32">
        <v>46090</v>
      </c>
      <c r="L943" s="25">
        <v>23</v>
      </c>
    </row>
    <row r="944" spans="10:12">
      <c r="J944" s="39" t="s">
        <v>35</v>
      </c>
      <c r="K944" s="40">
        <v>46090</v>
      </c>
      <c r="L944" s="39">
        <v>6</v>
      </c>
    </row>
    <row r="945" spans="10:12">
      <c r="J945" s="25" t="s">
        <v>11</v>
      </c>
      <c r="K945" s="32">
        <v>46090</v>
      </c>
      <c r="L945" s="25">
        <v>3</v>
      </c>
    </row>
    <row r="946" spans="10:12">
      <c r="J946" s="39" t="s">
        <v>92</v>
      </c>
      <c r="K946" s="40">
        <v>46090</v>
      </c>
      <c r="L946" s="39">
        <v>3</v>
      </c>
    </row>
    <row r="947" spans="10:12">
      <c r="J947" s="25" t="s">
        <v>51</v>
      </c>
      <c r="K947" s="32">
        <v>46090</v>
      </c>
      <c r="L947" s="25">
        <v>3</v>
      </c>
    </row>
    <row r="948" spans="10:12">
      <c r="J948" s="39" t="s">
        <v>61</v>
      </c>
      <c r="K948" s="40">
        <v>46090</v>
      </c>
      <c r="L948" s="39">
        <v>8</v>
      </c>
    </row>
    <row r="949" spans="10:12">
      <c r="J949" s="25" t="s">
        <v>94</v>
      </c>
      <c r="K949" s="32">
        <v>46090</v>
      </c>
      <c r="L949" s="25">
        <v>13</v>
      </c>
    </row>
    <row r="950" spans="10:12">
      <c r="J950" s="39" t="s">
        <v>82</v>
      </c>
      <c r="K950" s="40">
        <v>46090</v>
      </c>
      <c r="L950" s="39">
        <v>12</v>
      </c>
    </row>
    <row r="951" spans="10:12">
      <c r="J951" s="25" t="s">
        <v>96</v>
      </c>
      <c r="K951" s="32">
        <v>46090</v>
      </c>
      <c r="L951" s="25">
        <v>5</v>
      </c>
    </row>
    <row r="952" spans="10:12">
      <c r="J952" s="39" t="s">
        <v>100</v>
      </c>
      <c r="K952" s="40">
        <v>46090</v>
      </c>
      <c r="L952" s="39">
        <v>3</v>
      </c>
    </row>
    <row r="953" spans="10:12">
      <c r="J953" s="25" t="s">
        <v>92</v>
      </c>
      <c r="K953" s="32">
        <v>46090</v>
      </c>
      <c r="L953" s="25">
        <v>2</v>
      </c>
    </row>
    <row r="954" spans="10:12">
      <c r="J954" s="39" t="s">
        <v>92</v>
      </c>
      <c r="K954" s="40">
        <v>46091</v>
      </c>
      <c r="L954" s="39">
        <v>14</v>
      </c>
    </row>
    <row r="955" spans="10:12">
      <c r="J955" s="25" t="s">
        <v>96</v>
      </c>
      <c r="K955" s="32">
        <v>46091</v>
      </c>
      <c r="L955" s="25">
        <v>10</v>
      </c>
    </row>
    <row r="956" spans="10:12">
      <c r="J956" s="39" t="s">
        <v>88</v>
      </c>
      <c r="K956" s="40">
        <v>46091</v>
      </c>
      <c r="L956" s="39">
        <v>1</v>
      </c>
    </row>
    <row r="957" spans="10:12">
      <c r="J957" s="25" t="s">
        <v>84</v>
      </c>
      <c r="K957" s="32">
        <v>46091</v>
      </c>
      <c r="L957" s="25">
        <v>9</v>
      </c>
    </row>
    <row r="958" spans="10:12">
      <c r="J958" s="39" t="s">
        <v>53</v>
      </c>
      <c r="K958" s="40">
        <v>46091</v>
      </c>
      <c r="L958" s="39">
        <v>8</v>
      </c>
    </row>
    <row r="959" spans="10:12">
      <c r="J959" s="25" t="s">
        <v>67</v>
      </c>
      <c r="K959" s="32">
        <v>46091</v>
      </c>
      <c r="L959" s="25">
        <v>1</v>
      </c>
    </row>
    <row r="960" spans="10:12">
      <c r="J960" s="39" t="s">
        <v>67</v>
      </c>
      <c r="K960" s="40">
        <v>46091</v>
      </c>
      <c r="L960" s="39">
        <v>13</v>
      </c>
    </row>
    <row r="961" spans="10:12">
      <c r="J961" s="25" t="s">
        <v>11</v>
      </c>
      <c r="K961" s="32">
        <v>46091</v>
      </c>
      <c r="L961" s="25">
        <v>10</v>
      </c>
    </row>
    <row r="962" spans="10:12">
      <c r="J962" s="39" t="s">
        <v>23</v>
      </c>
      <c r="K962" s="40">
        <v>46091</v>
      </c>
      <c r="L962" s="39">
        <v>19</v>
      </c>
    </row>
    <row r="963" spans="10:12">
      <c r="J963" s="25" t="s">
        <v>90</v>
      </c>
      <c r="K963" s="32">
        <v>46091</v>
      </c>
      <c r="L963" s="25">
        <v>14</v>
      </c>
    </row>
    <row r="964" spans="10:12">
      <c r="J964" s="39" t="s">
        <v>92</v>
      </c>
      <c r="K964" s="40">
        <v>46091</v>
      </c>
      <c r="L964" s="39">
        <v>23</v>
      </c>
    </row>
    <row r="965" spans="10:12">
      <c r="J965" s="25" t="s">
        <v>38</v>
      </c>
      <c r="K965" s="32">
        <v>46091</v>
      </c>
      <c r="L965" s="25">
        <v>11</v>
      </c>
    </row>
    <row r="966" spans="10:12">
      <c r="J966" s="39" t="s">
        <v>46</v>
      </c>
      <c r="K966" s="40">
        <v>46091</v>
      </c>
      <c r="L966" s="39">
        <v>4</v>
      </c>
    </row>
    <row r="967" spans="10:12">
      <c r="J967" s="25" t="s">
        <v>53</v>
      </c>
      <c r="K967" s="32">
        <v>46091</v>
      </c>
      <c r="L967" s="25">
        <v>17</v>
      </c>
    </row>
    <row r="968" spans="10:12">
      <c r="J968" s="39" t="s">
        <v>84</v>
      </c>
      <c r="K968" s="40">
        <v>46091</v>
      </c>
      <c r="L968" s="39">
        <v>13</v>
      </c>
    </row>
    <row r="969" spans="10:12">
      <c r="J969" s="25" t="s">
        <v>55</v>
      </c>
      <c r="K969" s="32">
        <v>46091</v>
      </c>
      <c r="L969" s="25">
        <v>12</v>
      </c>
    </row>
    <row r="970" spans="10:12">
      <c r="J970" s="39" t="s">
        <v>96</v>
      </c>
      <c r="K970" s="40">
        <v>46092</v>
      </c>
      <c r="L970" s="39">
        <v>10</v>
      </c>
    </row>
    <row r="971" spans="10:12">
      <c r="J971" s="25" t="s">
        <v>63</v>
      </c>
      <c r="K971" s="32">
        <v>46092</v>
      </c>
      <c r="L971" s="25">
        <v>5</v>
      </c>
    </row>
    <row r="972" spans="10:12">
      <c r="J972" s="39" t="s">
        <v>31</v>
      </c>
      <c r="K972" s="40">
        <v>46092</v>
      </c>
      <c r="L972" s="39">
        <v>7</v>
      </c>
    </row>
    <row r="973" spans="10:12">
      <c r="J973" s="25" t="s">
        <v>72</v>
      </c>
      <c r="K973" s="32">
        <v>46092</v>
      </c>
      <c r="L973" s="25">
        <v>4</v>
      </c>
    </row>
    <row r="974" spans="10:12">
      <c r="J974" s="39" t="s">
        <v>76</v>
      </c>
      <c r="K974" s="40">
        <v>46092</v>
      </c>
      <c r="L974" s="39">
        <v>5</v>
      </c>
    </row>
    <row r="975" spans="10:12">
      <c r="J975" s="25" t="s">
        <v>96</v>
      </c>
      <c r="K975" s="32">
        <v>46092</v>
      </c>
      <c r="L975" s="25">
        <v>7</v>
      </c>
    </row>
    <row r="976" spans="10:12">
      <c r="J976" s="39" t="s">
        <v>90</v>
      </c>
      <c r="K976" s="40">
        <v>46092</v>
      </c>
      <c r="L976" s="39">
        <v>7</v>
      </c>
    </row>
    <row r="977" spans="10:12">
      <c r="J977" s="25" t="s">
        <v>11</v>
      </c>
      <c r="K977" s="32">
        <v>46092</v>
      </c>
      <c r="L977" s="25">
        <v>1</v>
      </c>
    </row>
    <row r="978" spans="10:12">
      <c r="J978" s="39" t="s">
        <v>43</v>
      </c>
      <c r="K978" s="40">
        <v>46092</v>
      </c>
      <c r="L978" s="39">
        <v>10</v>
      </c>
    </row>
    <row r="979" spans="10:12">
      <c r="J979" s="25" t="s">
        <v>28</v>
      </c>
      <c r="K979" s="32">
        <v>46092</v>
      </c>
      <c r="L979" s="25">
        <v>17</v>
      </c>
    </row>
    <row r="980" spans="10:12">
      <c r="J980" s="39" t="s">
        <v>74</v>
      </c>
      <c r="K980" s="40">
        <v>46092</v>
      </c>
      <c r="L980" s="39">
        <v>8</v>
      </c>
    </row>
    <row r="981" spans="10:12">
      <c r="J981" s="25" t="s">
        <v>84</v>
      </c>
      <c r="K981" s="32">
        <v>46092</v>
      </c>
      <c r="L981" s="25">
        <v>4</v>
      </c>
    </row>
    <row r="982" spans="10:12">
      <c r="J982" s="39" t="s">
        <v>35</v>
      </c>
      <c r="K982" s="40">
        <v>46092</v>
      </c>
      <c r="L982" s="39">
        <v>11</v>
      </c>
    </row>
    <row r="983" spans="10:12">
      <c r="J983" s="25" t="s">
        <v>88</v>
      </c>
      <c r="K983" s="32">
        <v>46092</v>
      </c>
      <c r="L983" s="25">
        <v>3</v>
      </c>
    </row>
    <row r="984" spans="10:12">
      <c r="J984" s="39" t="s">
        <v>84</v>
      </c>
      <c r="K984" s="40">
        <v>46093</v>
      </c>
      <c r="L984" s="39">
        <v>9</v>
      </c>
    </row>
    <row r="985" spans="10:12">
      <c r="J985" s="25" t="s">
        <v>98</v>
      </c>
      <c r="K985" s="32">
        <v>46093</v>
      </c>
      <c r="L985" s="25">
        <v>18</v>
      </c>
    </row>
    <row r="986" spans="10:12">
      <c r="J986" s="39" t="s">
        <v>98</v>
      </c>
      <c r="K986" s="40">
        <v>46093</v>
      </c>
      <c r="L986" s="39">
        <v>3</v>
      </c>
    </row>
    <row r="987" spans="10:12">
      <c r="J987" s="25" t="s">
        <v>53</v>
      </c>
      <c r="K987" s="32">
        <v>46093</v>
      </c>
      <c r="L987" s="25">
        <v>24</v>
      </c>
    </row>
    <row r="988" spans="10:12">
      <c r="J988" s="39" t="s">
        <v>28</v>
      </c>
      <c r="K988" s="40">
        <v>46094</v>
      </c>
      <c r="L988" s="39">
        <v>3</v>
      </c>
    </row>
    <row r="989" spans="10:12">
      <c r="J989" s="25" t="s">
        <v>61</v>
      </c>
      <c r="K989" s="32">
        <v>46094</v>
      </c>
      <c r="L989" s="25">
        <v>2</v>
      </c>
    </row>
    <row r="990" spans="10:12">
      <c r="J990" s="39" t="s">
        <v>80</v>
      </c>
      <c r="K990" s="40">
        <v>46094</v>
      </c>
      <c r="L990" s="39">
        <v>5</v>
      </c>
    </row>
    <row r="991" spans="10:12">
      <c r="J991" s="25" t="s">
        <v>63</v>
      </c>
      <c r="K991" s="32">
        <v>46094</v>
      </c>
      <c r="L991" s="25">
        <v>3</v>
      </c>
    </row>
    <row r="992" spans="10:12">
      <c r="J992" s="39" t="s">
        <v>18</v>
      </c>
      <c r="K992" s="40">
        <v>46094</v>
      </c>
      <c r="L992" s="39">
        <v>17</v>
      </c>
    </row>
    <row r="993" spans="10:12">
      <c r="J993" s="25" t="s">
        <v>82</v>
      </c>
      <c r="K993" s="32">
        <v>46094</v>
      </c>
      <c r="L993" s="25">
        <v>32</v>
      </c>
    </row>
    <row r="994" spans="10:12">
      <c r="J994" s="39" t="s">
        <v>88</v>
      </c>
      <c r="K994" s="40">
        <v>46094</v>
      </c>
      <c r="L994" s="39">
        <v>10</v>
      </c>
    </row>
    <row r="995" spans="10:12">
      <c r="J995" s="25" t="s">
        <v>98</v>
      </c>
      <c r="K995" s="32">
        <v>46094</v>
      </c>
      <c r="L995" s="25">
        <v>10</v>
      </c>
    </row>
    <row r="996" spans="10:12">
      <c r="J996" s="39" t="s">
        <v>40</v>
      </c>
      <c r="K996" s="40">
        <v>46094</v>
      </c>
      <c r="L996" s="39">
        <v>7</v>
      </c>
    </row>
    <row r="997" spans="10:12">
      <c r="J997" s="25" t="s">
        <v>40</v>
      </c>
      <c r="K997" s="32">
        <v>46094</v>
      </c>
      <c r="L997" s="25">
        <v>5</v>
      </c>
    </row>
    <row r="998" spans="10:12">
      <c r="J998" s="39" t="s">
        <v>84</v>
      </c>
      <c r="K998" s="40">
        <v>46094</v>
      </c>
      <c r="L998" s="39">
        <v>19</v>
      </c>
    </row>
    <row r="999" spans="10:12">
      <c r="J999" s="25" t="s">
        <v>65</v>
      </c>
      <c r="K999" s="32">
        <v>46095</v>
      </c>
      <c r="L999" s="25">
        <v>18</v>
      </c>
    </row>
    <row r="1000" spans="10:12">
      <c r="J1000" s="39" t="s">
        <v>96</v>
      </c>
      <c r="K1000" s="40">
        <v>46095</v>
      </c>
      <c r="L1000" s="39">
        <v>8</v>
      </c>
    </row>
    <row r="1001" spans="10:12">
      <c r="J1001" s="25" t="s">
        <v>72</v>
      </c>
      <c r="K1001" s="32">
        <v>46095</v>
      </c>
      <c r="L1001" s="25">
        <v>11</v>
      </c>
    </row>
    <row r="1002" spans="10:12">
      <c r="J1002" s="39" t="s">
        <v>23</v>
      </c>
      <c r="K1002" s="40">
        <v>46095</v>
      </c>
      <c r="L1002" s="39">
        <v>1</v>
      </c>
    </row>
    <row r="1003" spans="10:12">
      <c r="J1003" s="25" t="s">
        <v>58</v>
      </c>
      <c r="K1003" s="32">
        <v>46095</v>
      </c>
      <c r="L1003" s="25">
        <v>21</v>
      </c>
    </row>
    <row r="1004" spans="10:12">
      <c r="J1004" s="39" t="s">
        <v>58</v>
      </c>
      <c r="K1004" s="40">
        <v>46095</v>
      </c>
      <c r="L1004" s="39">
        <v>7</v>
      </c>
    </row>
    <row r="1005" spans="10:12">
      <c r="J1005" s="25" t="s">
        <v>35</v>
      </c>
      <c r="K1005" s="32">
        <v>46095</v>
      </c>
      <c r="L1005" s="25">
        <v>2</v>
      </c>
    </row>
    <row r="1006" spans="10:12">
      <c r="J1006" s="39" t="s">
        <v>86</v>
      </c>
      <c r="K1006" s="40">
        <v>46095</v>
      </c>
      <c r="L1006" s="39">
        <v>20</v>
      </c>
    </row>
    <row r="1007" spans="10:12">
      <c r="J1007" s="25" t="s">
        <v>88</v>
      </c>
      <c r="K1007" s="32">
        <v>46095</v>
      </c>
      <c r="L1007" s="25">
        <v>13</v>
      </c>
    </row>
    <row r="1008" spans="10:12">
      <c r="J1008" s="39" t="s">
        <v>94</v>
      </c>
      <c r="K1008" s="40">
        <v>46096</v>
      </c>
      <c r="L1008" s="39">
        <v>18</v>
      </c>
    </row>
    <row r="1009" spans="10:12">
      <c r="J1009" s="25" t="s">
        <v>70</v>
      </c>
      <c r="K1009" s="32">
        <v>46096</v>
      </c>
      <c r="L1009" s="25">
        <v>15</v>
      </c>
    </row>
    <row r="1010" spans="10:12">
      <c r="J1010" s="39" t="s">
        <v>96</v>
      </c>
      <c r="K1010" s="40">
        <v>46096</v>
      </c>
      <c r="L1010" s="39">
        <v>8</v>
      </c>
    </row>
    <row r="1011" spans="10:12">
      <c r="J1011" s="25" t="s">
        <v>61</v>
      </c>
      <c r="K1011" s="32">
        <v>46096</v>
      </c>
      <c r="L1011" s="25">
        <v>10</v>
      </c>
    </row>
    <row r="1012" spans="10:12">
      <c r="J1012" s="39" t="s">
        <v>51</v>
      </c>
      <c r="K1012" s="40">
        <v>46096</v>
      </c>
      <c r="L1012" s="39">
        <v>14</v>
      </c>
    </row>
    <row r="1013" spans="10:12">
      <c r="J1013" s="25" t="s">
        <v>65</v>
      </c>
      <c r="K1013" s="32">
        <v>46096</v>
      </c>
      <c r="L1013" s="25">
        <v>4</v>
      </c>
    </row>
    <row r="1014" spans="10:12">
      <c r="J1014" s="39" t="s">
        <v>72</v>
      </c>
      <c r="K1014" s="40">
        <v>46096</v>
      </c>
      <c r="L1014" s="39">
        <v>15</v>
      </c>
    </row>
    <row r="1015" spans="10:12">
      <c r="J1015" s="25" t="s">
        <v>53</v>
      </c>
      <c r="K1015" s="32">
        <v>46096</v>
      </c>
      <c r="L1015" s="25">
        <v>17</v>
      </c>
    </row>
    <row r="1016" spans="10:12">
      <c r="J1016" s="39" t="s">
        <v>40</v>
      </c>
      <c r="K1016" s="40">
        <v>46096</v>
      </c>
      <c r="L1016" s="39">
        <v>17</v>
      </c>
    </row>
    <row r="1017" spans="10:12">
      <c r="J1017" s="25" t="s">
        <v>92</v>
      </c>
      <c r="K1017" s="32">
        <v>46096</v>
      </c>
      <c r="L1017" s="25">
        <v>24</v>
      </c>
    </row>
    <row r="1018" spans="10:12">
      <c r="J1018" s="39" t="s">
        <v>38</v>
      </c>
      <c r="K1018" s="40">
        <v>46096</v>
      </c>
      <c r="L1018" s="39">
        <v>9</v>
      </c>
    </row>
    <row r="1019" spans="10:12">
      <c r="J1019" s="25" t="s">
        <v>63</v>
      </c>
      <c r="K1019" s="32">
        <v>46096</v>
      </c>
      <c r="L1019" s="25">
        <v>11</v>
      </c>
    </row>
    <row r="1020" spans="10:12">
      <c r="J1020" s="39" t="s">
        <v>65</v>
      </c>
      <c r="K1020" s="40">
        <v>46096</v>
      </c>
      <c r="L1020" s="39">
        <v>24</v>
      </c>
    </row>
    <row r="1021" spans="10:12">
      <c r="J1021" s="25" t="s">
        <v>11</v>
      </c>
      <c r="K1021" s="32">
        <v>46096</v>
      </c>
      <c r="L1021" s="25">
        <v>13</v>
      </c>
    </row>
    <row r="1022" spans="10:12">
      <c r="J1022" s="39" t="s">
        <v>88</v>
      </c>
      <c r="K1022" s="40">
        <v>46096</v>
      </c>
      <c r="L1022" s="39">
        <v>1</v>
      </c>
    </row>
    <row r="1023" spans="10:12">
      <c r="J1023" s="25" t="s">
        <v>92</v>
      </c>
      <c r="K1023" s="32">
        <v>46097</v>
      </c>
      <c r="L1023" s="25">
        <v>1</v>
      </c>
    </row>
    <row r="1024" spans="10:12">
      <c r="J1024" s="39" t="s">
        <v>63</v>
      </c>
      <c r="K1024" s="40">
        <v>46097</v>
      </c>
      <c r="L1024" s="39">
        <v>18</v>
      </c>
    </row>
    <row r="1025" spans="10:12">
      <c r="J1025" s="25" t="s">
        <v>23</v>
      </c>
      <c r="K1025" s="32">
        <v>46097</v>
      </c>
      <c r="L1025" s="25">
        <v>9</v>
      </c>
    </row>
    <row r="1026" spans="10:12">
      <c r="J1026" s="39" t="s">
        <v>23</v>
      </c>
      <c r="K1026" s="40">
        <v>46097</v>
      </c>
      <c r="L1026" s="39">
        <v>12</v>
      </c>
    </row>
    <row r="1027" spans="10:12">
      <c r="J1027" s="25" t="s">
        <v>38</v>
      </c>
      <c r="K1027" s="32">
        <v>46097</v>
      </c>
      <c r="L1027" s="25">
        <v>10</v>
      </c>
    </row>
    <row r="1028" spans="10:12">
      <c r="J1028" s="39" t="s">
        <v>84</v>
      </c>
      <c r="K1028" s="40">
        <v>46097</v>
      </c>
      <c r="L1028" s="39">
        <v>4</v>
      </c>
    </row>
    <row r="1029" spans="10:12">
      <c r="J1029" s="25" t="s">
        <v>49</v>
      </c>
      <c r="K1029" s="32">
        <v>46097</v>
      </c>
      <c r="L1029" s="25">
        <v>16</v>
      </c>
    </row>
    <row r="1030" spans="10:12">
      <c r="J1030" s="39" t="s">
        <v>78</v>
      </c>
      <c r="K1030" s="40">
        <v>46097</v>
      </c>
      <c r="L1030" s="39">
        <v>5</v>
      </c>
    </row>
    <row r="1031" spans="10:12">
      <c r="J1031" s="25" t="s">
        <v>40</v>
      </c>
      <c r="K1031" s="32">
        <v>46097</v>
      </c>
      <c r="L1031" s="25">
        <v>4</v>
      </c>
    </row>
    <row r="1032" spans="10:12">
      <c r="J1032" s="39" t="s">
        <v>53</v>
      </c>
      <c r="K1032" s="40">
        <v>46097</v>
      </c>
      <c r="L1032" s="39">
        <v>2</v>
      </c>
    </row>
    <row r="1033" spans="10:12">
      <c r="J1033" s="25" t="s">
        <v>61</v>
      </c>
      <c r="K1033" s="32">
        <v>46097</v>
      </c>
      <c r="L1033" s="25">
        <v>20</v>
      </c>
    </row>
    <row r="1034" spans="10:12">
      <c r="J1034" s="39" t="s">
        <v>18</v>
      </c>
      <c r="K1034" s="40">
        <v>46098</v>
      </c>
      <c r="L1034" s="39">
        <v>13</v>
      </c>
    </row>
    <row r="1035" spans="10:12">
      <c r="J1035" s="25" t="s">
        <v>18</v>
      </c>
      <c r="K1035" s="32">
        <v>46098</v>
      </c>
      <c r="L1035" s="25">
        <v>8</v>
      </c>
    </row>
    <row r="1036" spans="10:12">
      <c r="J1036" s="39" t="s">
        <v>72</v>
      </c>
      <c r="K1036" s="40">
        <v>46098</v>
      </c>
      <c r="L1036" s="39">
        <v>14</v>
      </c>
    </row>
    <row r="1037" spans="10:12">
      <c r="J1037" s="25" t="s">
        <v>92</v>
      </c>
      <c r="K1037" s="32">
        <v>46098</v>
      </c>
      <c r="L1037" s="25">
        <v>4</v>
      </c>
    </row>
    <row r="1038" spans="10:12">
      <c r="J1038" s="39" t="s">
        <v>90</v>
      </c>
      <c r="K1038" s="40">
        <v>46098</v>
      </c>
      <c r="L1038" s="39">
        <v>4</v>
      </c>
    </row>
    <row r="1039" spans="10:12">
      <c r="J1039" s="25" t="s">
        <v>28</v>
      </c>
      <c r="K1039" s="32">
        <v>46098</v>
      </c>
      <c r="L1039" s="25">
        <v>3</v>
      </c>
    </row>
    <row r="1040" spans="10:12">
      <c r="J1040" s="39" t="s">
        <v>58</v>
      </c>
      <c r="K1040" s="40">
        <v>46098</v>
      </c>
      <c r="L1040" s="39">
        <v>2</v>
      </c>
    </row>
    <row r="1041" spans="10:12">
      <c r="J1041" s="25" t="s">
        <v>55</v>
      </c>
      <c r="K1041" s="32">
        <v>46098</v>
      </c>
      <c r="L1041" s="25">
        <v>2</v>
      </c>
    </row>
    <row r="1042" spans="10:12">
      <c r="J1042" s="39" t="s">
        <v>38</v>
      </c>
      <c r="K1042" s="40">
        <v>46098</v>
      </c>
      <c r="L1042" s="39">
        <v>10</v>
      </c>
    </row>
    <row r="1043" spans="10:12">
      <c r="J1043" s="25" t="s">
        <v>84</v>
      </c>
      <c r="K1043" s="32">
        <v>46098</v>
      </c>
      <c r="L1043" s="25">
        <v>4</v>
      </c>
    </row>
    <row r="1044" spans="10:12">
      <c r="J1044" s="39" t="s">
        <v>98</v>
      </c>
      <c r="K1044" s="40">
        <v>46098</v>
      </c>
      <c r="L1044" s="39">
        <v>7</v>
      </c>
    </row>
    <row r="1045" spans="10:12">
      <c r="J1045" s="25" t="s">
        <v>58</v>
      </c>
      <c r="K1045" s="32">
        <v>46098</v>
      </c>
      <c r="L1045" s="25">
        <v>27</v>
      </c>
    </row>
    <row r="1046" spans="10:12">
      <c r="J1046" s="39" t="s">
        <v>43</v>
      </c>
      <c r="K1046" s="40">
        <v>46098</v>
      </c>
      <c r="L1046" s="39">
        <v>8</v>
      </c>
    </row>
    <row r="1047" spans="10:12">
      <c r="J1047" s="25" t="s">
        <v>82</v>
      </c>
      <c r="K1047" s="32">
        <v>46098</v>
      </c>
      <c r="L1047" s="25">
        <v>7</v>
      </c>
    </row>
    <row r="1048" spans="10:12">
      <c r="J1048" s="39" t="s">
        <v>49</v>
      </c>
      <c r="K1048" s="40">
        <v>46098</v>
      </c>
      <c r="L1048" s="39">
        <v>7</v>
      </c>
    </row>
    <row r="1049" spans="10:12">
      <c r="J1049" s="25" t="s">
        <v>70</v>
      </c>
      <c r="K1049" s="32">
        <v>46098</v>
      </c>
      <c r="L1049" s="25">
        <v>11</v>
      </c>
    </row>
    <row r="1050" spans="10:12">
      <c r="J1050" s="39" t="s">
        <v>49</v>
      </c>
      <c r="K1050" s="40">
        <v>46098</v>
      </c>
      <c r="L1050" s="39">
        <v>7</v>
      </c>
    </row>
    <row r="1051" spans="10:12">
      <c r="J1051" s="25" t="s">
        <v>72</v>
      </c>
      <c r="K1051" s="32">
        <v>46098</v>
      </c>
      <c r="L1051" s="25">
        <v>6</v>
      </c>
    </row>
    <row r="1052" spans="10:12">
      <c r="J1052" s="39" t="s">
        <v>43</v>
      </c>
      <c r="K1052" s="40">
        <v>46098</v>
      </c>
      <c r="L1052" s="39">
        <v>13</v>
      </c>
    </row>
    <row r="1053" spans="10:12">
      <c r="J1053" s="25" t="s">
        <v>11</v>
      </c>
      <c r="K1053" s="32">
        <v>46098</v>
      </c>
      <c r="L1053" s="25">
        <v>26</v>
      </c>
    </row>
    <row r="1054" spans="10:12">
      <c r="J1054" s="39" t="s">
        <v>72</v>
      </c>
      <c r="K1054" s="40">
        <v>46098</v>
      </c>
      <c r="L1054" s="39">
        <v>4</v>
      </c>
    </row>
    <row r="1055" spans="10:12">
      <c r="J1055" s="25" t="s">
        <v>53</v>
      </c>
      <c r="K1055" s="32">
        <v>46098</v>
      </c>
      <c r="L1055" s="25">
        <v>1</v>
      </c>
    </row>
    <row r="1056" spans="10:12">
      <c r="J1056" s="39" t="s">
        <v>40</v>
      </c>
      <c r="K1056" s="40">
        <v>46099</v>
      </c>
      <c r="L1056" s="39">
        <v>5</v>
      </c>
    </row>
    <row r="1057" spans="10:12">
      <c r="J1057" s="25" t="s">
        <v>18</v>
      </c>
      <c r="K1057" s="32">
        <v>46099</v>
      </c>
      <c r="L1057" s="25">
        <v>5</v>
      </c>
    </row>
    <row r="1058" spans="10:12">
      <c r="J1058" s="39" t="s">
        <v>35</v>
      </c>
      <c r="K1058" s="40">
        <v>46099</v>
      </c>
      <c r="L1058" s="39">
        <v>7</v>
      </c>
    </row>
    <row r="1059" spans="10:12">
      <c r="J1059" s="25" t="s">
        <v>96</v>
      </c>
      <c r="K1059" s="32">
        <v>46099</v>
      </c>
      <c r="L1059" s="25">
        <v>22</v>
      </c>
    </row>
    <row r="1060" spans="10:12">
      <c r="J1060" s="39" t="s">
        <v>100</v>
      </c>
      <c r="K1060" s="40">
        <v>46099</v>
      </c>
      <c r="L1060" s="39">
        <v>7</v>
      </c>
    </row>
    <row r="1061" spans="10:12">
      <c r="J1061" s="25" t="s">
        <v>23</v>
      </c>
      <c r="K1061" s="32">
        <v>46099</v>
      </c>
      <c r="L1061" s="25">
        <v>18</v>
      </c>
    </row>
    <row r="1062" spans="10:12">
      <c r="J1062" s="39" t="s">
        <v>78</v>
      </c>
      <c r="K1062" s="40">
        <v>46099</v>
      </c>
      <c r="L1062" s="39">
        <v>18</v>
      </c>
    </row>
    <row r="1063" spans="10:12">
      <c r="J1063" s="25" t="s">
        <v>55</v>
      </c>
      <c r="K1063" s="32">
        <v>46099</v>
      </c>
      <c r="L1063" s="25">
        <v>6</v>
      </c>
    </row>
    <row r="1064" spans="10:12">
      <c r="J1064" s="39" t="s">
        <v>67</v>
      </c>
      <c r="K1064" s="40">
        <v>46099</v>
      </c>
      <c r="L1064" s="39">
        <v>11</v>
      </c>
    </row>
    <row r="1065" spans="10:12">
      <c r="J1065" s="25" t="s">
        <v>86</v>
      </c>
      <c r="K1065" s="32">
        <v>46099</v>
      </c>
      <c r="L1065" s="25">
        <v>6</v>
      </c>
    </row>
    <row r="1066" spans="10:12">
      <c r="J1066" s="39" t="s">
        <v>38</v>
      </c>
      <c r="K1066" s="40">
        <v>46099</v>
      </c>
      <c r="L1066" s="39">
        <v>2</v>
      </c>
    </row>
    <row r="1067" spans="10:12">
      <c r="J1067" s="25" t="s">
        <v>49</v>
      </c>
      <c r="K1067" s="32">
        <v>46099</v>
      </c>
      <c r="L1067" s="25">
        <v>5</v>
      </c>
    </row>
    <row r="1068" spans="10:12">
      <c r="J1068" s="39" t="s">
        <v>35</v>
      </c>
      <c r="K1068" s="40">
        <v>46099</v>
      </c>
      <c r="L1068" s="39">
        <v>12</v>
      </c>
    </row>
    <row r="1069" spans="10:12">
      <c r="J1069" s="25" t="s">
        <v>88</v>
      </c>
      <c r="K1069" s="32">
        <v>46100</v>
      </c>
      <c r="L1069" s="25">
        <v>10</v>
      </c>
    </row>
    <row r="1070" spans="10:12">
      <c r="J1070" s="39" t="s">
        <v>100</v>
      </c>
      <c r="K1070" s="40">
        <v>46100</v>
      </c>
      <c r="L1070" s="39">
        <v>8</v>
      </c>
    </row>
    <row r="1071" spans="10:12">
      <c r="J1071" s="25" t="s">
        <v>40</v>
      </c>
      <c r="K1071" s="32">
        <v>46100</v>
      </c>
      <c r="L1071" s="25">
        <v>19</v>
      </c>
    </row>
    <row r="1072" spans="10:12">
      <c r="J1072" s="39" t="s">
        <v>18</v>
      </c>
      <c r="K1072" s="40">
        <v>46100</v>
      </c>
      <c r="L1072" s="39">
        <v>10</v>
      </c>
    </row>
    <row r="1073" spans="10:12">
      <c r="J1073" s="25" t="s">
        <v>67</v>
      </c>
      <c r="K1073" s="32">
        <v>46100</v>
      </c>
      <c r="L1073" s="25">
        <v>1</v>
      </c>
    </row>
    <row r="1074" spans="10:12">
      <c r="J1074" s="39" t="s">
        <v>70</v>
      </c>
      <c r="K1074" s="40">
        <v>46100</v>
      </c>
      <c r="L1074" s="39">
        <v>8</v>
      </c>
    </row>
    <row r="1075" spans="10:12">
      <c r="J1075" s="25" t="s">
        <v>80</v>
      </c>
      <c r="K1075" s="32">
        <v>46100</v>
      </c>
      <c r="L1075" s="25">
        <v>9</v>
      </c>
    </row>
    <row r="1076" spans="10:12">
      <c r="J1076" s="39" t="s">
        <v>96</v>
      </c>
      <c r="K1076" s="40">
        <v>46100</v>
      </c>
      <c r="L1076" s="39">
        <v>20</v>
      </c>
    </row>
    <row r="1077" spans="10:12">
      <c r="J1077" s="25" t="s">
        <v>67</v>
      </c>
      <c r="K1077" s="32">
        <v>46100</v>
      </c>
      <c r="L1077" s="25">
        <v>18</v>
      </c>
    </row>
    <row r="1078" spans="10:12">
      <c r="J1078" s="39" t="s">
        <v>92</v>
      </c>
      <c r="K1078" s="40">
        <v>46100</v>
      </c>
      <c r="L1078" s="39">
        <v>3</v>
      </c>
    </row>
    <row r="1079" spans="10:12">
      <c r="J1079" s="25" t="s">
        <v>70</v>
      </c>
      <c r="K1079" s="32">
        <v>46100</v>
      </c>
      <c r="L1079" s="25">
        <v>6</v>
      </c>
    </row>
    <row r="1080" spans="10:12">
      <c r="J1080" s="39" t="s">
        <v>70</v>
      </c>
      <c r="K1080" s="40">
        <v>46100</v>
      </c>
      <c r="L1080" s="39">
        <v>7</v>
      </c>
    </row>
    <row r="1081" spans="10:12">
      <c r="J1081" s="25" t="s">
        <v>94</v>
      </c>
      <c r="K1081" s="32">
        <v>46100</v>
      </c>
      <c r="L1081" s="25">
        <v>7</v>
      </c>
    </row>
    <row r="1082" spans="10:12">
      <c r="J1082" s="39" t="s">
        <v>63</v>
      </c>
      <c r="K1082" s="40">
        <v>46100</v>
      </c>
      <c r="L1082" s="39">
        <v>18</v>
      </c>
    </row>
    <row r="1083" spans="10:12">
      <c r="J1083" s="25" t="s">
        <v>49</v>
      </c>
      <c r="K1083" s="32">
        <v>46100</v>
      </c>
      <c r="L1083" s="25">
        <v>5</v>
      </c>
    </row>
    <row r="1084" spans="10:12">
      <c r="J1084" s="39" t="s">
        <v>49</v>
      </c>
      <c r="K1084" s="40">
        <v>46100</v>
      </c>
      <c r="L1084" s="39">
        <v>11</v>
      </c>
    </row>
    <row r="1085" spans="10:12">
      <c r="J1085" s="25" t="s">
        <v>78</v>
      </c>
      <c r="K1085" s="32">
        <v>46100</v>
      </c>
      <c r="L1085" s="25">
        <v>22</v>
      </c>
    </row>
    <row r="1086" spans="10:12">
      <c r="J1086" s="39" t="s">
        <v>88</v>
      </c>
      <c r="K1086" s="40">
        <v>46100</v>
      </c>
      <c r="L1086" s="39">
        <v>6</v>
      </c>
    </row>
    <row r="1087" spans="10:12">
      <c r="J1087" s="25" t="s">
        <v>61</v>
      </c>
      <c r="K1087" s="32">
        <v>46101</v>
      </c>
      <c r="L1087" s="25">
        <v>22</v>
      </c>
    </row>
    <row r="1088" spans="10:12">
      <c r="J1088" s="39" t="s">
        <v>23</v>
      </c>
      <c r="K1088" s="40">
        <v>46101</v>
      </c>
      <c r="L1088" s="39">
        <v>18</v>
      </c>
    </row>
    <row r="1089" spans="10:12">
      <c r="J1089" s="25" t="s">
        <v>70</v>
      </c>
      <c r="K1089" s="32">
        <v>46101</v>
      </c>
      <c r="L1089" s="25">
        <v>15</v>
      </c>
    </row>
    <row r="1090" spans="10:12">
      <c r="J1090" s="39" t="s">
        <v>98</v>
      </c>
      <c r="K1090" s="40">
        <v>46101</v>
      </c>
      <c r="L1090" s="39">
        <v>7</v>
      </c>
    </row>
    <row r="1091" spans="10:12">
      <c r="J1091" s="25" t="s">
        <v>23</v>
      </c>
      <c r="K1091" s="32">
        <v>46101</v>
      </c>
      <c r="L1091" s="25">
        <v>5</v>
      </c>
    </row>
    <row r="1092" spans="10:12">
      <c r="J1092" s="39" t="s">
        <v>96</v>
      </c>
      <c r="K1092" s="40">
        <v>46101</v>
      </c>
      <c r="L1092" s="39">
        <v>7</v>
      </c>
    </row>
    <row r="1093" spans="10:12">
      <c r="J1093" s="25" t="s">
        <v>23</v>
      </c>
      <c r="K1093" s="32">
        <v>46101</v>
      </c>
      <c r="L1093" s="25">
        <v>6</v>
      </c>
    </row>
    <row r="1094" spans="10:12">
      <c r="J1094" s="39" t="s">
        <v>98</v>
      </c>
      <c r="K1094" s="40">
        <v>46101</v>
      </c>
      <c r="L1094" s="39">
        <v>3</v>
      </c>
    </row>
    <row r="1095" spans="10:12">
      <c r="J1095" s="25" t="s">
        <v>28</v>
      </c>
      <c r="K1095" s="32">
        <v>46101</v>
      </c>
      <c r="L1095" s="25">
        <v>2</v>
      </c>
    </row>
    <row r="1096" spans="10:12">
      <c r="J1096" s="39" t="s">
        <v>88</v>
      </c>
      <c r="K1096" s="40">
        <v>46101</v>
      </c>
      <c r="L1096" s="39">
        <v>17</v>
      </c>
    </row>
    <row r="1097" spans="10:12">
      <c r="J1097" s="25" t="s">
        <v>90</v>
      </c>
      <c r="K1097" s="32">
        <v>46101</v>
      </c>
      <c r="L1097" s="25">
        <v>13</v>
      </c>
    </row>
    <row r="1098" spans="10:12">
      <c r="J1098" s="39" t="s">
        <v>18</v>
      </c>
      <c r="K1098" s="40">
        <v>46101</v>
      </c>
      <c r="L1098" s="39">
        <v>9</v>
      </c>
    </row>
    <row r="1099" spans="10:12">
      <c r="J1099" s="25" t="s">
        <v>67</v>
      </c>
      <c r="K1099" s="32">
        <v>46101</v>
      </c>
      <c r="L1099" s="25">
        <v>12</v>
      </c>
    </row>
    <row r="1100" spans="10:12">
      <c r="J1100" s="39" t="s">
        <v>38</v>
      </c>
      <c r="K1100" s="40">
        <v>46101</v>
      </c>
      <c r="L1100" s="39">
        <v>7</v>
      </c>
    </row>
    <row r="1101" spans="10:12">
      <c r="J1101" s="25" t="s">
        <v>78</v>
      </c>
      <c r="K1101" s="32">
        <v>46101</v>
      </c>
      <c r="L1101" s="25">
        <v>26</v>
      </c>
    </row>
    <row r="1102" spans="10:12">
      <c r="J1102" s="39" t="s">
        <v>63</v>
      </c>
      <c r="K1102" s="40">
        <v>46101</v>
      </c>
      <c r="L1102" s="39">
        <v>7</v>
      </c>
    </row>
    <row r="1103" spans="10:12">
      <c r="J1103" s="25" t="s">
        <v>18</v>
      </c>
      <c r="K1103" s="32">
        <v>46101</v>
      </c>
      <c r="L1103" s="25">
        <v>10</v>
      </c>
    </row>
    <row r="1104" spans="10:12">
      <c r="J1104" s="39" t="s">
        <v>74</v>
      </c>
      <c r="K1104" s="40">
        <v>46101</v>
      </c>
      <c r="L1104" s="39">
        <v>11</v>
      </c>
    </row>
    <row r="1105" spans="10:12">
      <c r="J1105" s="25" t="s">
        <v>65</v>
      </c>
      <c r="K1105" s="32">
        <v>46101</v>
      </c>
      <c r="L1105" s="25">
        <v>8</v>
      </c>
    </row>
    <row r="1106" spans="10:12">
      <c r="J1106" s="39" t="s">
        <v>100</v>
      </c>
      <c r="K1106" s="40">
        <v>46101</v>
      </c>
      <c r="L1106" s="39">
        <v>15</v>
      </c>
    </row>
    <row r="1107" spans="10:12">
      <c r="J1107" s="25" t="s">
        <v>40</v>
      </c>
      <c r="K1107" s="32">
        <v>46101</v>
      </c>
      <c r="L1107" s="25">
        <v>26</v>
      </c>
    </row>
    <row r="1108" spans="10:12">
      <c r="J1108" s="39" t="s">
        <v>78</v>
      </c>
      <c r="K1108" s="40">
        <v>46102</v>
      </c>
      <c r="L1108" s="39">
        <v>13</v>
      </c>
    </row>
    <row r="1109" spans="10:12">
      <c r="J1109" s="25" t="s">
        <v>82</v>
      </c>
      <c r="K1109" s="32">
        <v>46102</v>
      </c>
      <c r="L1109" s="25">
        <v>18</v>
      </c>
    </row>
    <row r="1110" spans="10:12">
      <c r="J1110" s="39" t="s">
        <v>51</v>
      </c>
      <c r="K1110" s="40">
        <v>46102</v>
      </c>
      <c r="L1110" s="39">
        <v>20</v>
      </c>
    </row>
    <row r="1111" spans="10:12">
      <c r="J1111" s="25" t="s">
        <v>11</v>
      </c>
      <c r="K1111" s="32">
        <v>46102</v>
      </c>
      <c r="L1111" s="25">
        <v>2</v>
      </c>
    </row>
    <row r="1112" spans="10:12">
      <c r="J1112" s="39" t="s">
        <v>92</v>
      </c>
      <c r="K1112" s="40">
        <v>46102</v>
      </c>
      <c r="L1112" s="39">
        <v>25</v>
      </c>
    </row>
    <row r="1113" spans="10:12">
      <c r="J1113" s="25" t="s">
        <v>35</v>
      </c>
      <c r="K1113" s="32">
        <v>46102</v>
      </c>
      <c r="L1113" s="25">
        <v>11</v>
      </c>
    </row>
    <row r="1114" spans="10:12">
      <c r="J1114" s="39" t="s">
        <v>38</v>
      </c>
      <c r="K1114" s="40">
        <v>46102</v>
      </c>
      <c r="L1114" s="39">
        <v>4</v>
      </c>
    </row>
    <row r="1115" spans="10:12">
      <c r="J1115" s="25" t="s">
        <v>28</v>
      </c>
      <c r="K1115" s="32">
        <v>46102</v>
      </c>
      <c r="L1115" s="25">
        <v>7</v>
      </c>
    </row>
    <row r="1116" spans="10:12">
      <c r="J1116" s="39" t="s">
        <v>88</v>
      </c>
      <c r="K1116" s="40">
        <v>46102</v>
      </c>
      <c r="L1116" s="39">
        <v>1</v>
      </c>
    </row>
    <row r="1117" spans="10:12">
      <c r="J1117" s="25" t="s">
        <v>11</v>
      </c>
      <c r="K1117" s="32">
        <v>46102</v>
      </c>
      <c r="L1117" s="25">
        <v>4</v>
      </c>
    </row>
    <row r="1118" spans="10:12">
      <c r="J1118" s="39" t="s">
        <v>18</v>
      </c>
      <c r="K1118" s="40">
        <v>46102</v>
      </c>
      <c r="L1118" s="39">
        <v>4</v>
      </c>
    </row>
    <row r="1119" spans="10:12">
      <c r="J1119" s="25" t="s">
        <v>82</v>
      </c>
      <c r="K1119" s="32">
        <v>46102</v>
      </c>
      <c r="L1119" s="25">
        <v>4</v>
      </c>
    </row>
    <row r="1120" spans="10:12">
      <c r="J1120" s="39" t="s">
        <v>80</v>
      </c>
      <c r="K1120" s="40">
        <v>46102</v>
      </c>
      <c r="L1120" s="39">
        <v>16</v>
      </c>
    </row>
    <row r="1121" spans="10:12">
      <c r="J1121" s="25" t="s">
        <v>92</v>
      </c>
      <c r="K1121" s="32">
        <v>46102</v>
      </c>
      <c r="L1121" s="25">
        <v>4</v>
      </c>
    </row>
    <row r="1122" spans="10:12">
      <c r="J1122" s="39" t="s">
        <v>40</v>
      </c>
      <c r="K1122" s="40">
        <v>46102</v>
      </c>
      <c r="L1122" s="39">
        <v>10</v>
      </c>
    </row>
    <row r="1123" spans="10:12">
      <c r="J1123" s="25" t="s">
        <v>96</v>
      </c>
      <c r="K1123" s="32">
        <v>46102</v>
      </c>
      <c r="L1123" s="25">
        <v>12</v>
      </c>
    </row>
    <row r="1124" spans="10:12">
      <c r="J1124" s="39" t="s">
        <v>65</v>
      </c>
      <c r="K1124" s="40">
        <v>46102</v>
      </c>
      <c r="L1124" s="39">
        <v>6</v>
      </c>
    </row>
    <row r="1125" spans="10:12">
      <c r="J1125" s="25" t="s">
        <v>92</v>
      </c>
      <c r="K1125" s="32">
        <v>46102</v>
      </c>
      <c r="L1125" s="25">
        <v>17</v>
      </c>
    </row>
    <row r="1126" spans="10:12">
      <c r="J1126" s="39" t="s">
        <v>76</v>
      </c>
      <c r="K1126" s="40">
        <v>46102</v>
      </c>
      <c r="L1126" s="39">
        <v>5</v>
      </c>
    </row>
    <row r="1127" spans="10:12">
      <c r="J1127" s="25" t="s">
        <v>31</v>
      </c>
      <c r="K1127" s="32">
        <v>46103</v>
      </c>
      <c r="L1127" s="25">
        <v>23</v>
      </c>
    </row>
    <row r="1128" spans="10:12">
      <c r="J1128" s="39" t="s">
        <v>100</v>
      </c>
      <c r="K1128" s="40">
        <v>46103</v>
      </c>
      <c r="L1128" s="39">
        <v>13</v>
      </c>
    </row>
    <row r="1129" spans="10:12">
      <c r="J1129" s="25" t="s">
        <v>40</v>
      </c>
      <c r="K1129" s="32">
        <v>46103</v>
      </c>
      <c r="L1129" s="25">
        <v>5</v>
      </c>
    </row>
    <row r="1130" spans="10:12">
      <c r="J1130" s="39" t="s">
        <v>96</v>
      </c>
      <c r="K1130" s="40">
        <v>46103</v>
      </c>
      <c r="L1130" s="39">
        <v>8</v>
      </c>
    </row>
    <row r="1131" spans="10:12">
      <c r="J1131" s="25" t="s">
        <v>46</v>
      </c>
      <c r="K1131" s="32">
        <v>46103</v>
      </c>
      <c r="L1131" s="25">
        <v>2</v>
      </c>
    </row>
    <row r="1132" spans="10:12">
      <c r="J1132" s="39" t="s">
        <v>80</v>
      </c>
      <c r="K1132" s="40">
        <v>46103</v>
      </c>
      <c r="L1132" s="39">
        <v>11</v>
      </c>
    </row>
    <row r="1133" spans="10:12">
      <c r="J1133" s="25" t="s">
        <v>28</v>
      </c>
      <c r="K1133" s="32">
        <v>46103</v>
      </c>
      <c r="L1133" s="25">
        <v>29</v>
      </c>
    </row>
    <row r="1134" spans="10:12">
      <c r="J1134" s="39" t="s">
        <v>78</v>
      </c>
      <c r="K1134" s="40">
        <v>46103</v>
      </c>
      <c r="L1134" s="39">
        <v>13</v>
      </c>
    </row>
    <row r="1135" spans="10:12">
      <c r="J1135" s="25" t="s">
        <v>65</v>
      </c>
      <c r="K1135" s="32">
        <v>46103</v>
      </c>
      <c r="L1135" s="25">
        <v>29</v>
      </c>
    </row>
    <row r="1136" spans="10:12">
      <c r="J1136" s="39" t="s">
        <v>100</v>
      </c>
      <c r="K1136" s="40">
        <v>46103</v>
      </c>
      <c r="L1136" s="39">
        <v>14</v>
      </c>
    </row>
    <row r="1137" spans="10:12">
      <c r="J1137" s="25" t="s">
        <v>53</v>
      </c>
      <c r="K1137" s="32">
        <v>46103</v>
      </c>
      <c r="L1137" s="25">
        <v>1</v>
      </c>
    </row>
    <row r="1138" spans="10:12">
      <c r="J1138" s="39" t="s">
        <v>76</v>
      </c>
      <c r="K1138" s="40">
        <v>46103</v>
      </c>
      <c r="L1138" s="39">
        <v>2</v>
      </c>
    </row>
    <row r="1139" spans="10:12">
      <c r="J1139" s="25" t="s">
        <v>78</v>
      </c>
      <c r="K1139" s="32">
        <v>46104</v>
      </c>
      <c r="L1139" s="25">
        <v>7</v>
      </c>
    </row>
    <row r="1140" spans="10:12">
      <c r="J1140" s="39" t="s">
        <v>88</v>
      </c>
      <c r="K1140" s="40">
        <v>46104</v>
      </c>
      <c r="L1140" s="39">
        <v>8</v>
      </c>
    </row>
    <row r="1141" spans="10:12">
      <c r="J1141" s="25" t="s">
        <v>58</v>
      </c>
      <c r="K1141" s="32">
        <v>46104</v>
      </c>
      <c r="L1141" s="25">
        <v>11</v>
      </c>
    </row>
    <row r="1142" spans="10:12">
      <c r="J1142" s="39" t="s">
        <v>84</v>
      </c>
      <c r="K1142" s="40">
        <v>46104</v>
      </c>
      <c r="L1142" s="39">
        <v>11</v>
      </c>
    </row>
    <row r="1143" spans="10:12">
      <c r="J1143" s="25" t="s">
        <v>67</v>
      </c>
      <c r="K1143" s="32">
        <v>46104</v>
      </c>
      <c r="L1143" s="25">
        <v>1</v>
      </c>
    </row>
    <row r="1144" spans="10:12">
      <c r="J1144" s="39" t="s">
        <v>92</v>
      </c>
      <c r="K1144" s="40">
        <v>46104</v>
      </c>
      <c r="L1144" s="39">
        <v>8</v>
      </c>
    </row>
    <row r="1145" spans="10:12">
      <c r="J1145" s="25" t="s">
        <v>67</v>
      </c>
      <c r="K1145" s="32">
        <v>46104</v>
      </c>
      <c r="L1145" s="25">
        <v>14</v>
      </c>
    </row>
    <row r="1146" spans="10:12">
      <c r="J1146" s="39" t="s">
        <v>78</v>
      </c>
      <c r="K1146" s="40">
        <v>46104</v>
      </c>
      <c r="L1146" s="39">
        <v>13</v>
      </c>
    </row>
    <row r="1147" spans="10:12">
      <c r="J1147" s="25" t="s">
        <v>88</v>
      </c>
      <c r="K1147" s="32">
        <v>46104</v>
      </c>
      <c r="L1147" s="25">
        <v>13</v>
      </c>
    </row>
    <row r="1148" spans="10:12">
      <c r="J1148" s="39" t="s">
        <v>100</v>
      </c>
      <c r="K1148" s="40">
        <v>46104</v>
      </c>
      <c r="L1148" s="39">
        <v>4</v>
      </c>
    </row>
    <row r="1149" spans="10:12">
      <c r="J1149" s="25" t="s">
        <v>80</v>
      </c>
      <c r="K1149" s="32">
        <v>46104</v>
      </c>
      <c r="L1149" s="25">
        <v>16</v>
      </c>
    </row>
    <row r="1150" spans="10:12">
      <c r="J1150" s="39" t="s">
        <v>82</v>
      </c>
      <c r="K1150" s="40">
        <v>46105</v>
      </c>
      <c r="L1150" s="39">
        <v>3</v>
      </c>
    </row>
    <row r="1151" spans="10:12">
      <c r="J1151" s="25" t="s">
        <v>92</v>
      </c>
      <c r="K1151" s="32">
        <v>46105</v>
      </c>
      <c r="L1151" s="25">
        <v>9</v>
      </c>
    </row>
    <row r="1152" spans="10:12">
      <c r="J1152" s="39" t="s">
        <v>58</v>
      </c>
      <c r="K1152" s="40">
        <v>46105</v>
      </c>
      <c r="L1152" s="39">
        <v>11</v>
      </c>
    </row>
    <row r="1153" spans="10:12">
      <c r="J1153" s="25" t="s">
        <v>70</v>
      </c>
      <c r="K1153" s="32">
        <v>46105</v>
      </c>
      <c r="L1153" s="25">
        <v>10</v>
      </c>
    </row>
    <row r="1154" spans="10:12">
      <c r="J1154" s="39" t="s">
        <v>28</v>
      </c>
      <c r="K1154" s="40">
        <v>46105</v>
      </c>
      <c r="L1154" s="39">
        <v>1</v>
      </c>
    </row>
    <row r="1155" spans="10:12">
      <c r="J1155" s="25" t="s">
        <v>53</v>
      </c>
      <c r="K1155" s="32">
        <v>46105</v>
      </c>
      <c r="L1155" s="25">
        <v>11</v>
      </c>
    </row>
    <row r="1156" spans="10:12">
      <c r="J1156" s="39" t="s">
        <v>96</v>
      </c>
      <c r="K1156" s="40">
        <v>46105</v>
      </c>
      <c r="L1156" s="39">
        <v>25</v>
      </c>
    </row>
    <row r="1157" spans="10:12">
      <c r="J1157" s="25" t="s">
        <v>23</v>
      </c>
      <c r="K1157" s="32">
        <v>46105</v>
      </c>
      <c r="L1157" s="25">
        <v>12</v>
      </c>
    </row>
    <row r="1158" spans="10:12">
      <c r="J1158" s="39" t="s">
        <v>100</v>
      </c>
      <c r="K1158" s="40">
        <v>46105</v>
      </c>
      <c r="L1158" s="39">
        <v>12</v>
      </c>
    </row>
    <row r="1159" spans="10:12">
      <c r="J1159" s="25" t="s">
        <v>70</v>
      </c>
      <c r="K1159" s="32">
        <v>46105</v>
      </c>
      <c r="L1159" s="25">
        <v>3</v>
      </c>
    </row>
    <row r="1160" spans="10:12">
      <c r="J1160" s="39" t="s">
        <v>11</v>
      </c>
      <c r="K1160" s="40">
        <v>46106</v>
      </c>
      <c r="L1160" s="39">
        <v>4</v>
      </c>
    </row>
    <row r="1161" spans="10:12">
      <c r="J1161" s="25" t="s">
        <v>76</v>
      </c>
      <c r="K1161" s="32">
        <v>46106</v>
      </c>
      <c r="L1161" s="25">
        <v>7</v>
      </c>
    </row>
    <row r="1162" spans="10:12">
      <c r="J1162" s="39" t="s">
        <v>18</v>
      </c>
      <c r="K1162" s="40">
        <v>46106</v>
      </c>
      <c r="L1162" s="39">
        <v>9</v>
      </c>
    </row>
    <row r="1163" spans="10:12">
      <c r="J1163" s="25" t="s">
        <v>18</v>
      </c>
      <c r="K1163" s="32">
        <v>46106</v>
      </c>
      <c r="L1163" s="25">
        <v>12</v>
      </c>
    </row>
    <row r="1164" spans="10:12">
      <c r="J1164" s="39" t="s">
        <v>94</v>
      </c>
      <c r="K1164" s="40">
        <v>46106</v>
      </c>
      <c r="L1164" s="39">
        <v>15</v>
      </c>
    </row>
    <row r="1165" spans="10:12">
      <c r="J1165" s="25" t="s">
        <v>88</v>
      </c>
      <c r="K1165" s="32">
        <v>46106</v>
      </c>
      <c r="L1165" s="25">
        <v>4</v>
      </c>
    </row>
    <row r="1166" spans="10:12">
      <c r="J1166" s="39" t="s">
        <v>49</v>
      </c>
      <c r="K1166" s="40">
        <v>46106</v>
      </c>
      <c r="L1166" s="39">
        <v>10</v>
      </c>
    </row>
    <row r="1167" spans="10:12">
      <c r="J1167" s="25" t="s">
        <v>18</v>
      </c>
      <c r="K1167" s="32">
        <v>46106</v>
      </c>
      <c r="L1167" s="25">
        <v>7</v>
      </c>
    </row>
    <row r="1168" spans="10:12">
      <c r="J1168" s="39" t="s">
        <v>100</v>
      </c>
      <c r="K1168" s="40">
        <v>46107</v>
      </c>
      <c r="L1168" s="39">
        <v>19</v>
      </c>
    </row>
    <row r="1169" spans="10:12">
      <c r="J1169" s="25" t="s">
        <v>98</v>
      </c>
      <c r="K1169" s="32">
        <v>46107</v>
      </c>
      <c r="L1169" s="25">
        <v>9</v>
      </c>
    </row>
    <row r="1170" spans="10:12">
      <c r="J1170" s="39" t="s">
        <v>98</v>
      </c>
      <c r="K1170" s="40">
        <v>46107</v>
      </c>
      <c r="L1170" s="39">
        <v>12</v>
      </c>
    </row>
    <row r="1171" spans="10:12">
      <c r="J1171" s="25" t="s">
        <v>82</v>
      </c>
      <c r="K1171" s="32">
        <v>46107</v>
      </c>
      <c r="L1171" s="25">
        <v>14</v>
      </c>
    </row>
    <row r="1172" spans="10:12">
      <c r="J1172" s="39" t="s">
        <v>70</v>
      </c>
      <c r="K1172" s="40">
        <v>46107</v>
      </c>
      <c r="L1172" s="39">
        <v>14</v>
      </c>
    </row>
    <row r="1173" spans="10:12">
      <c r="J1173" s="25" t="s">
        <v>46</v>
      </c>
      <c r="K1173" s="32">
        <v>46107</v>
      </c>
      <c r="L1173" s="25">
        <v>4</v>
      </c>
    </row>
    <row r="1174" spans="10:12">
      <c r="J1174" s="39" t="s">
        <v>78</v>
      </c>
      <c r="K1174" s="40">
        <v>46107</v>
      </c>
      <c r="L1174" s="39">
        <v>4</v>
      </c>
    </row>
    <row r="1175" spans="10:12">
      <c r="J1175" s="25" t="s">
        <v>70</v>
      </c>
      <c r="K1175" s="32">
        <v>46107</v>
      </c>
      <c r="L1175" s="25">
        <v>6</v>
      </c>
    </row>
    <row r="1176" spans="10:12">
      <c r="J1176" s="39" t="s">
        <v>100</v>
      </c>
      <c r="K1176" s="40">
        <v>46107</v>
      </c>
      <c r="L1176" s="39">
        <v>14</v>
      </c>
    </row>
    <row r="1177" spans="10:12">
      <c r="J1177" s="25" t="s">
        <v>67</v>
      </c>
      <c r="K1177" s="32">
        <v>46107</v>
      </c>
      <c r="L1177" s="25">
        <v>1</v>
      </c>
    </row>
    <row r="1178" spans="10:12">
      <c r="J1178" s="39" t="s">
        <v>38</v>
      </c>
      <c r="K1178" s="40">
        <v>46107</v>
      </c>
      <c r="L1178" s="39">
        <v>1</v>
      </c>
    </row>
    <row r="1179" spans="10:12">
      <c r="J1179" s="25" t="s">
        <v>65</v>
      </c>
      <c r="K1179" s="32">
        <v>46108</v>
      </c>
      <c r="L1179" s="25">
        <v>18</v>
      </c>
    </row>
    <row r="1180" spans="10:12">
      <c r="J1180" s="39" t="s">
        <v>35</v>
      </c>
      <c r="K1180" s="40">
        <v>46108</v>
      </c>
      <c r="L1180" s="39">
        <v>1</v>
      </c>
    </row>
    <row r="1181" spans="10:12">
      <c r="J1181" s="25" t="s">
        <v>76</v>
      </c>
      <c r="K1181" s="32">
        <v>46108</v>
      </c>
      <c r="L1181" s="25">
        <v>15</v>
      </c>
    </row>
    <row r="1182" spans="10:12">
      <c r="J1182" s="39" t="s">
        <v>58</v>
      </c>
      <c r="K1182" s="40">
        <v>46108</v>
      </c>
      <c r="L1182" s="39">
        <v>8</v>
      </c>
    </row>
    <row r="1183" spans="10:12">
      <c r="J1183" s="25" t="s">
        <v>40</v>
      </c>
      <c r="K1183" s="32">
        <v>46108</v>
      </c>
      <c r="L1183" s="25">
        <v>14</v>
      </c>
    </row>
    <row r="1184" spans="10:12">
      <c r="J1184" s="39" t="s">
        <v>11</v>
      </c>
      <c r="K1184" s="40">
        <v>46108</v>
      </c>
      <c r="L1184" s="39">
        <v>9</v>
      </c>
    </row>
    <row r="1185" spans="10:12">
      <c r="J1185" s="25" t="s">
        <v>38</v>
      </c>
      <c r="K1185" s="32">
        <v>46108</v>
      </c>
      <c r="L1185" s="25">
        <v>19</v>
      </c>
    </row>
    <row r="1186" spans="10:12">
      <c r="J1186" s="39" t="s">
        <v>67</v>
      </c>
      <c r="K1186" s="40">
        <v>46108</v>
      </c>
      <c r="L1186" s="39">
        <v>14</v>
      </c>
    </row>
    <row r="1187" spans="10:12">
      <c r="J1187" s="25" t="s">
        <v>28</v>
      </c>
      <c r="K1187" s="32">
        <v>46108</v>
      </c>
      <c r="L1187" s="25">
        <v>15</v>
      </c>
    </row>
    <row r="1188" spans="10:12">
      <c r="J1188" s="39" t="s">
        <v>18</v>
      </c>
      <c r="K1188" s="40">
        <v>46108</v>
      </c>
      <c r="L1188" s="39">
        <v>12</v>
      </c>
    </row>
    <row r="1189" spans="10:12">
      <c r="J1189" s="25" t="s">
        <v>53</v>
      </c>
      <c r="K1189" s="32">
        <v>46108</v>
      </c>
      <c r="L1189" s="25">
        <v>2</v>
      </c>
    </row>
    <row r="1190" spans="10:12">
      <c r="J1190" s="39" t="s">
        <v>67</v>
      </c>
      <c r="K1190" s="40">
        <v>46108</v>
      </c>
      <c r="L1190" s="39">
        <v>23</v>
      </c>
    </row>
    <row r="1191" spans="10:12">
      <c r="J1191" s="25" t="s">
        <v>82</v>
      </c>
      <c r="K1191" s="32">
        <v>46109</v>
      </c>
      <c r="L1191" s="25">
        <v>3</v>
      </c>
    </row>
    <row r="1192" spans="10:12">
      <c r="J1192" s="39" t="s">
        <v>74</v>
      </c>
      <c r="K1192" s="40">
        <v>46109</v>
      </c>
      <c r="L1192" s="39">
        <v>4</v>
      </c>
    </row>
    <row r="1193" spans="10:12">
      <c r="J1193" s="25" t="s">
        <v>88</v>
      </c>
      <c r="K1193" s="32">
        <v>46109</v>
      </c>
      <c r="L1193" s="25">
        <v>7</v>
      </c>
    </row>
    <row r="1194" spans="10:12">
      <c r="J1194" s="39" t="s">
        <v>53</v>
      </c>
      <c r="K1194" s="40">
        <v>46109</v>
      </c>
      <c r="L1194" s="39">
        <v>7</v>
      </c>
    </row>
    <row r="1195" spans="10:12">
      <c r="J1195" s="25" t="s">
        <v>46</v>
      </c>
      <c r="K1195" s="32">
        <v>46109</v>
      </c>
      <c r="L1195" s="25">
        <v>1</v>
      </c>
    </row>
    <row r="1196" spans="10:12">
      <c r="J1196" s="39" t="s">
        <v>46</v>
      </c>
      <c r="K1196" s="40">
        <v>46109</v>
      </c>
      <c r="L1196" s="39">
        <v>1</v>
      </c>
    </row>
    <row r="1197" spans="10:12">
      <c r="J1197" s="25" t="s">
        <v>28</v>
      </c>
      <c r="K1197" s="32">
        <v>46109</v>
      </c>
      <c r="L1197" s="25">
        <v>13</v>
      </c>
    </row>
    <row r="1198" spans="10:12">
      <c r="J1198" s="39" t="s">
        <v>92</v>
      </c>
      <c r="K1198" s="40">
        <v>46109</v>
      </c>
      <c r="L1198" s="39">
        <v>8</v>
      </c>
    </row>
    <row r="1199" spans="10:12">
      <c r="J1199" s="25" t="s">
        <v>76</v>
      </c>
      <c r="K1199" s="32">
        <v>46109</v>
      </c>
      <c r="L1199" s="25">
        <v>13</v>
      </c>
    </row>
    <row r="1200" spans="10:12">
      <c r="J1200" s="39" t="s">
        <v>72</v>
      </c>
      <c r="K1200" s="40">
        <v>46109</v>
      </c>
      <c r="L1200" s="39">
        <v>10</v>
      </c>
    </row>
    <row r="1201" spans="10:12">
      <c r="J1201" s="25" t="s">
        <v>92</v>
      </c>
      <c r="K1201" s="32">
        <v>46110</v>
      </c>
      <c r="L1201" s="25">
        <v>2</v>
      </c>
    </row>
    <row r="1202" spans="10:12">
      <c r="J1202" s="39" t="s">
        <v>11</v>
      </c>
      <c r="K1202" s="40">
        <v>46110</v>
      </c>
      <c r="L1202" s="39">
        <v>2</v>
      </c>
    </row>
    <row r="1203" spans="10:12">
      <c r="J1203" s="25" t="s">
        <v>76</v>
      </c>
      <c r="K1203" s="32">
        <v>46110</v>
      </c>
      <c r="L1203" s="25">
        <v>1</v>
      </c>
    </row>
    <row r="1204" spans="10:12">
      <c r="J1204" s="39" t="s">
        <v>55</v>
      </c>
      <c r="K1204" s="40">
        <v>46110</v>
      </c>
      <c r="L1204" s="39">
        <v>5</v>
      </c>
    </row>
    <row r="1205" spans="10:12">
      <c r="J1205" s="25" t="s">
        <v>65</v>
      </c>
      <c r="K1205" s="32">
        <v>46110</v>
      </c>
      <c r="L1205" s="25">
        <v>8</v>
      </c>
    </row>
    <row r="1206" spans="10:12">
      <c r="J1206" s="39" t="s">
        <v>55</v>
      </c>
      <c r="K1206" s="40">
        <v>46110</v>
      </c>
      <c r="L1206" s="39">
        <v>9</v>
      </c>
    </row>
    <row r="1207" spans="10:12">
      <c r="J1207" s="25" t="s">
        <v>11</v>
      </c>
      <c r="K1207" s="32">
        <v>46110</v>
      </c>
      <c r="L1207" s="25">
        <v>15</v>
      </c>
    </row>
    <row r="1208" spans="10:12">
      <c r="J1208" s="39" t="s">
        <v>61</v>
      </c>
      <c r="K1208" s="40">
        <v>46110</v>
      </c>
      <c r="L1208" s="39">
        <v>7</v>
      </c>
    </row>
    <row r="1209" spans="10:12">
      <c r="J1209" s="25" t="s">
        <v>88</v>
      </c>
      <c r="K1209" s="32">
        <v>46110</v>
      </c>
      <c r="L1209" s="25">
        <v>6</v>
      </c>
    </row>
    <row r="1210" spans="10:12">
      <c r="J1210" s="39" t="s">
        <v>86</v>
      </c>
      <c r="K1210" s="40">
        <v>46110</v>
      </c>
      <c r="L1210" s="39">
        <v>4</v>
      </c>
    </row>
    <row r="1211" spans="10:12">
      <c r="J1211" s="25" t="s">
        <v>100</v>
      </c>
      <c r="K1211" s="32">
        <v>46110</v>
      </c>
      <c r="L1211" s="25">
        <v>17</v>
      </c>
    </row>
    <row r="1212" spans="10:12">
      <c r="J1212" s="39" t="s">
        <v>28</v>
      </c>
      <c r="K1212" s="40">
        <v>46110</v>
      </c>
      <c r="L1212" s="39">
        <v>6</v>
      </c>
    </row>
    <row r="1213" spans="10:12">
      <c r="J1213" s="25" t="s">
        <v>55</v>
      </c>
      <c r="K1213" s="32">
        <v>46110</v>
      </c>
      <c r="L1213" s="25">
        <v>5</v>
      </c>
    </row>
    <row r="1214" spans="10:12">
      <c r="J1214" s="39" t="s">
        <v>88</v>
      </c>
      <c r="K1214" s="40">
        <v>46111</v>
      </c>
      <c r="L1214" s="39">
        <v>4</v>
      </c>
    </row>
    <row r="1215" spans="10:12">
      <c r="J1215" s="25" t="s">
        <v>72</v>
      </c>
      <c r="K1215" s="32">
        <v>46111</v>
      </c>
      <c r="L1215" s="25">
        <v>2</v>
      </c>
    </row>
    <row r="1216" spans="10:12">
      <c r="J1216" s="39" t="s">
        <v>96</v>
      </c>
      <c r="K1216" s="40">
        <v>46111</v>
      </c>
      <c r="L1216" s="39">
        <v>8</v>
      </c>
    </row>
    <row r="1217" spans="10:12">
      <c r="J1217" s="25" t="s">
        <v>61</v>
      </c>
      <c r="K1217" s="32">
        <v>46111</v>
      </c>
      <c r="L1217" s="25">
        <v>20</v>
      </c>
    </row>
    <row r="1218" spans="10:12">
      <c r="J1218" s="39" t="s">
        <v>49</v>
      </c>
      <c r="K1218" s="40">
        <v>46111</v>
      </c>
      <c r="L1218" s="39">
        <v>20</v>
      </c>
    </row>
    <row r="1219" spans="10:12">
      <c r="J1219" s="25" t="s">
        <v>74</v>
      </c>
      <c r="K1219" s="32">
        <v>46111</v>
      </c>
      <c r="L1219" s="25">
        <v>26</v>
      </c>
    </row>
    <row r="1220" spans="10:12">
      <c r="J1220" s="39" t="s">
        <v>55</v>
      </c>
      <c r="K1220" s="40">
        <v>46111</v>
      </c>
      <c r="L1220" s="39">
        <v>2</v>
      </c>
    </row>
    <row r="1221" spans="10:12">
      <c r="J1221" s="25" t="s">
        <v>80</v>
      </c>
      <c r="K1221" s="32">
        <v>46111</v>
      </c>
      <c r="L1221" s="25">
        <v>2</v>
      </c>
    </row>
    <row r="1222" spans="10:12">
      <c r="J1222" s="39" t="s">
        <v>55</v>
      </c>
      <c r="K1222" s="40">
        <v>46111</v>
      </c>
      <c r="L1222" s="39">
        <v>3</v>
      </c>
    </row>
    <row r="1223" spans="10:12">
      <c r="J1223" s="25" t="s">
        <v>74</v>
      </c>
      <c r="K1223" s="32">
        <v>46111</v>
      </c>
      <c r="L1223" s="25">
        <v>4</v>
      </c>
    </row>
    <row r="1224" spans="10:12">
      <c r="J1224" s="39" t="s">
        <v>72</v>
      </c>
      <c r="K1224" s="40">
        <v>46111</v>
      </c>
      <c r="L1224" s="39">
        <v>33</v>
      </c>
    </row>
    <row r="1225" spans="10:12">
      <c r="J1225" s="25" t="s">
        <v>96</v>
      </c>
      <c r="K1225" s="32">
        <v>46111</v>
      </c>
      <c r="L1225" s="25">
        <v>12</v>
      </c>
    </row>
    <row r="1226" spans="10:12">
      <c r="J1226" s="39" t="s">
        <v>67</v>
      </c>
      <c r="K1226" s="40">
        <v>46111</v>
      </c>
      <c r="L1226" s="39">
        <v>15</v>
      </c>
    </row>
    <row r="1227" spans="10:12">
      <c r="J1227" s="25" t="s">
        <v>84</v>
      </c>
      <c r="K1227" s="32">
        <v>46111</v>
      </c>
      <c r="L1227" s="25">
        <v>9</v>
      </c>
    </row>
    <row r="1228" spans="10:12">
      <c r="J1228" s="39" t="s">
        <v>53</v>
      </c>
      <c r="K1228" s="40">
        <v>46112</v>
      </c>
      <c r="L1228" s="39">
        <v>1</v>
      </c>
    </row>
    <row r="1229" spans="10:12">
      <c r="J1229" s="25" t="s">
        <v>43</v>
      </c>
      <c r="K1229" s="32">
        <v>46112</v>
      </c>
      <c r="L1229" s="25">
        <v>10</v>
      </c>
    </row>
    <row r="1230" spans="10:12">
      <c r="J1230" s="39" t="s">
        <v>94</v>
      </c>
      <c r="K1230" s="40">
        <v>46112</v>
      </c>
      <c r="L1230" s="39">
        <v>20</v>
      </c>
    </row>
    <row r="1231" spans="10:12">
      <c r="J1231" s="25" t="s">
        <v>82</v>
      </c>
      <c r="K1231" s="32">
        <v>46112</v>
      </c>
      <c r="L1231" s="25">
        <v>13</v>
      </c>
    </row>
    <row r="1232" spans="10:12">
      <c r="J1232" s="39" t="s">
        <v>74</v>
      </c>
      <c r="K1232" s="40">
        <v>46112</v>
      </c>
      <c r="L1232" s="39">
        <v>17</v>
      </c>
    </row>
    <row r="1233" spans="10:12">
      <c r="J1233" s="25" t="s">
        <v>40</v>
      </c>
      <c r="K1233" s="32">
        <v>46112</v>
      </c>
      <c r="L1233" s="25">
        <v>16</v>
      </c>
    </row>
    <row r="1234" spans="10:12">
      <c r="J1234" s="39" t="s">
        <v>23</v>
      </c>
      <c r="K1234" s="40">
        <v>46112</v>
      </c>
      <c r="L1234" s="39">
        <v>1</v>
      </c>
    </row>
    <row r="1235" spans="10:12">
      <c r="J1235" s="25" t="s">
        <v>61</v>
      </c>
      <c r="K1235" s="32">
        <v>46112</v>
      </c>
      <c r="L1235" s="25">
        <v>15</v>
      </c>
    </row>
    <row r="1236" spans="10:12">
      <c r="J1236" s="39" t="s">
        <v>43</v>
      </c>
      <c r="K1236" s="40">
        <v>46112</v>
      </c>
      <c r="L1236" s="39">
        <v>5</v>
      </c>
    </row>
    <row r="1237" spans="10:12">
      <c r="J1237" s="25" t="s">
        <v>46</v>
      </c>
      <c r="K1237" s="32">
        <v>46112</v>
      </c>
      <c r="L1237" s="25">
        <v>11</v>
      </c>
    </row>
    <row r="1238" spans="10:12">
      <c r="J1238" s="39" t="s">
        <v>49</v>
      </c>
      <c r="K1238" s="40">
        <v>46112</v>
      </c>
      <c r="L1238" s="39">
        <v>1</v>
      </c>
    </row>
    <row r="1239" spans="10:12">
      <c r="J1239" s="25" t="s">
        <v>65</v>
      </c>
      <c r="K1239" s="32">
        <v>46112</v>
      </c>
      <c r="L1239" s="25">
        <v>12</v>
      </c>
    </row>
    <row r="1240" spans="10:12">
      <c r="J1240" s="39" t="s">
        <v>100</v>
      </c>
      <c r="K1240" s="40">
        <v>46112</v>
      </c>
      <c r="L1240" s="39">
        <v>21</v>
      </c>
    </row>
    <row r="1241" spans="10:12">
      <c r="J1241" s="25" t="s">
        <v>43</v>
      </c>
      <c r="K1241" s="32">
        <v>46113</v>
      </c>
      <c r="L1241" s="25">
        <v>11</v>
      </c>
    </row>
    <row r="1242" spans="10:12">
      <c r="J1242" s="39" t="s">
        <v>92</v>
      </c>
      <c r="K1242" s="40">
        <v>46113</v>
      </c>
      <c r="L1242" s="39">
        <v>14</v>
      </c>
    </row>
    <row r="1243" spans="10:12">
      <c r="J1243" s="25" t="s">
        <v>46</v>
      </c>
      <c r="K1243" s="32">
        <v>46113</v>
      </c>
      <c r="L1243" s="25">
        <v>9</v>
      </c>
    </row>
    <row r="1244" spans="10:12">
      <c r="J1244" s="39" t="s">
        <v>100</v>
      </c>
      <c r="K1244" s="40">
        <v>46113</v>
      </c>
      <c r="L1244" s="39">
        <v>23</v>
      </c>
    </row>
    <row r="1245" spans="10:12">
      <c r="J1245" s="25" t="s">
        <v>58</v>
      </c>
      <c r="K1245" s="32">
        <v>46113</v>
      </c>
      <c r="L1245" s="25">
        <v>12</v>
      </c>
    </row>
    <row r="1246" spans="10:12">
      <c r="J1246" s="39" t="s">
        <v>43</v>
      </c>
      <c r="K1246" s="40">
        <v>46113</v>
      </c>
      <c r="L1246" s="39">
        <v>3</v>
      </c>
    </row>
    <row r="1247" spans="10:12">
      <c r="J1247" s="25" t="s">
        <v>84</v>
      </c>
      <c r="K1247" s="32">
        <v>46113</v>
      </c>
      <c r="L1247" s="25">
        <v>20</v>
      </c>
    </row>
    <row r="1248" spans="10:12">
      <c r="J1248" s="39" t="s">
        <v>82</v>
      </c>
      <c r="K1248" s="40">
        <v>46113</v>
      </c>
      <c r="L1248" s="39">
        <v>19</v>
      </c>
    </row>
    <row r="1249" spans="10:12">
      <c r="J1249" s="25" t="s">
        <v>63</v>
      </c>
      <c r="K1249" s="32">
        <v>46113</v>
      </c>
      <c r="L1249" s="25">
        <v>12</v>
      </c>
    </row>
    <row r="1250" spans="10:12">
      <c r="J1250" s="39" t="s">
        <v>51</v>
      </c>
      <c r="K1250" s="40">
        <v>46113</v>
      </c>
      <c r="L1250" s="39">
        <v>11</v>
      </c>
    </row>
    <row r="1251" spans="10:12">
      <c r="J1251" s="25" t="s">
        <v>18</v>
      </c>
      <c r="K1251" s="32">
        <v>46114</v>
      </c>
      <c r="L1251" s="25">
        <v>16</v>
      </c>
    </row>
    <row r="1252" spans="10:12">
      <c r="J1252" s="39" t="s">
        <v>65</v>
      </c>
      <c r="K1252" s="40">
        <v>46114</v>
      </c>
      <c r="L1252" s="39">
        <v>19</v>
      </c>
    </row>
    <row r="1253" spans="10:12">
      <c r="J1253" s="25" t="s">
        <v>46</v>
      </c>
      <c r="K1253" s="32">
        <v>46114</v>
      </c>
      <c r="L1253" s="25">
        <v>3</v>
      </c>
    </row>
    <row r="1254" spans="10:12">
      <c r="J1254" s="39" t="s">
        <v>92</v>
      </c>
      <c r="K1254" s="40">
        <v>46114</v>
      </c>
      <c r="L1254" s="39">
        <v>21</v>
      </c>
    </row>
    <row r="1255" spans="10:12">
      <c r="J1255" s="25" t="s">
        <v>90</v>
      </c>
      <c r="K1255" s="32">
        <v>46114</v>
      </c>
      <c r="L1255" s="25">
        <v>3</v>
      </c>
    </row>
    <row r="1256" spans="10:12">
      <c r="J1256" s="39" t="s">
        <v>92</v>
      </c>
      <c r="K1256" s="40">
        <v>46114</v>
      </c>
      <c r="L1256" s="39">
        <v>2</v>
      </c>
    </row>
    <row r="1257" spans="10:12">
      <c r="J1257" s="25" t="s">
        <v>43</v>
      </c>
      <c r="K1257" s="32">
        <v>46114</v>
      </c>
      <c r="L1257" s="25">
        <v>7</v>
      </c>
    </row>
    <row r="1258" spans="10:12">
      <c r="J1258" s="39" t="s">
        <v>92</v>
      </c>
      <c r="K1258" s="40">
        <v>46114</v>
      </c>
      <c r="L1258" s="39">
        <v>9</v>
      </c>
    </row>
    <row r="1259" spans="10:12">
      <c r="J1259" s="25" t="s">
        <v>80</v>
      </c>
      <c r="K1259" s="32">
        <v>46114</v>
      </c>
      <c r="L1259" s="25">
        <v>4</v>
      </c>
    </row>
    <row r="1260" spans="10:12">
      <c r="J1260" s="39" t="s">
        <v>72</v>
      </c>
      <c r="K1260" s="40">
        <v>46114</v>
      </c>
      <c r="L1260" s="39">
        <v>19</v>
      </c>
    </row>
    <row r="1261" spans="10:12">
      <c r="J1261" s="25" t="s">
        <v>67</v>
      </c>
      <c r="K1261" s="32">
        <v>46114</v>
      </c>
      <c r="L1261" s="25">
        <v>2</v>
      </c>
    </row>
    <row r="1262" spans="10:12">
      <c r="J1262" s="39" t="s">
        <v>94</v>
      </c>
      <c r="K1262" s="40">
        <v>46114</v>
      </c>
      <c r="L1262" s="39">
        <v>21</v>
      </c>
    </row>
    <row r="1263" spans="10:12">
      <c r="J1263" s="25" t="s">
        <v>28</v>
      </c>
      <c r="K1263" s="32">
        <v>46114</v>
      </c>
      <c r="L1263" s="25">
        <v>5</v>
      </c>
    </row>
    <row r="1264" spans="10:12">
      <c r="J1264" s="39" t="s">
        <v>53</v>
      </c>
      <c r="K1264" s="40">
        <v>46114</v>
      </c>
      <c r="L1264" s="39">
        <v>14</v>
      </c>
    </row>
    <row r="1265" spans="10:12">
      <c r="J1265" s="25" t="s">
        <v>65</v>
      </c>
      <c r="K1265" s="32">
        <v>46115</v>
      </c>
      <c r="L1265" s="25">
        <v>8</v>
      </c>
    </row>
    <row r="1266" spans="10:12">
      <c r="J1266" s="39" t="s">
        <v>31</v>
      </c>
      <c r="K1266" s="40">
        <v>46115</v>
      </c>
      <c r="L1266" s="39">
        <v>7</v>
      </c>
    </row>
    <row r="1267" spans="10:12">
      <c r="J1267" s="25" t="s">
        <v>61</v>
      </c>
      <c r="K1267" s="32">
        <v>46115</v>
      </c>
      <c r="L1267" s="25">
        <v>7</v>
      </c>
    </row>
    <row r="1268" spans="10:12">
      <c r="J1268" s="39" t="s">
        <v>88</v>
      </c>
      <c r="K1268" s="40">
        <v>46115</v>
      </c>
      <c r="L1268" s="39">
        <v>8</v>
      </c>
    </row>
    <row r="1269" spans="10:12">
      <c r="J1269" s="25" t="s">
        <v>51</v>
      </c>
      <c r="K1269" s="32">
        <v>46115</v>
      </c>
      <c r="L1269" s="25">
        <v>12</v>
      </c>
    </row>
    <row r="1270" spans="10:12">
      <c r="J1270" s="39" t="s">
        <v>86</v>
      </c>
      <c r="K1270" s="40">
        <v>46115</v>
      </c>
      <c r="L1270" s="39">
        <v>18</v>
      </c>
    </row>
    <row r="1271" spans="10:12">
      <c r="J1271" s="25" t="s">
        <v>11</v>
      </c>
      <c r="K1271" s="32">
        <v>46115</v>
      </c>
      <c r="L1271" s="25">
        <v>9</v>
      </c>
    </row>
    <row r="1272" spans="10:12">
      <c r="J1272" s="39" t="s">
        <v>58</v>
      </c>
      <c r="K1272" s="40">
        <v>46115</v>
      </c>
      <c r="L1272" s="39">
        <v>1</v>
      </c>
    </row>
    <row r="1273" spans="10:12">
      <c r="J1273" s="25" t="s">
        <v>82</v>
      </c>
      <c r="K1273" s="32">
        <v>46115</v>
      </c>
      <c r="L1273" s="25">
        <v>14</v>
      </c>
    </row>
    <row r="1274" spans="10:12">
      <c r="J1274" s="39" t="s">
        <v>46</v>
      </c>
      <c r="K1274" s="40">
        <v>46115</v>
      </c>
      <c r="L1274" s="39">
        <v>9</v>
      </c>
    </row>
    <row r="1275" spans="10:12">
      <c r="J1275" s="25" t="s">
        <v>51</v>
      </c>
      <c r="K1275" s="32">
        <v>46116</v>
      </c>
      <c r="L1275" s="25">
        <v>3</v>
      </c>
    </row>
    <row r="1276" spans="10:12">
      <c r="J1276" s="39" t="s">
        <v>92</v>
      </c>
      <c r="K1276" s="40">
        <v>46116</v>
      </c>
      <c r="L1276" s="39">
        <v>10</v>
      </c>
    </row>
    <row r="1277" spans="10:12">
      <c r="J1277" s="25" t="s">
        <v>76</v>
      </c>
      <c r="K1277" s="32">
        <v>46116</v>
      </c>
      <c r="L1277" s="25">
        <v>17</v>
      </c>
    </row>
    <row r="1278" spans="10:12">
      <c r="J1278" s="39" t="s">
        <v>11</v>
      </c>
      <c r="K1278" s="40">
        <v>46116</v>
      </c>
      <c r="L1278" s="39">
        <v>6</v>
      </c>
    </row>
    <row r="1279" spans="10:12">
      <c r="J1279" s="25" t="s">
        <v>40</v>
      </c>
      <c r="K1279" s="32">
        <v>46116</v>
      </c>
      <c r="L1279" s="25">
        <v>10</v>
      </c>
    </row>
    <row r="1280" spans="10:12">
      <c r="J1280" s="39" t="s">
        <v>35</v>
      </c>
      <c r="K1280" s="40">
        <v>46116</v>
      </c>
      <c r="L1280" s="39">
        <v>12</v>
      </c>
    </row>
    <row r="1281" spans="10:12">
      <c r="J1281" s="25" t="s">
        <v>88</v>
      </c>
      <c r="K1281" s="32">
        <v>46116</v>
      </c>
      <c r="L1281" s="25">
        <v>2</v>
      </c>
    </row>
    <row r="1282" spans="10:12">
      <c r="J1282" s="39" t="s">
        <v>55</v>
      </c>
      <c r="K1282" s="40">
        <v>46116</v>
      </c>
      <c r="L1282" s="39">
        <v>19</v>
      </c>
    </row>
    <row r="1283" spans="10:12">
      <c r="J1283" s="25" t="s">
        <v>55</v>
      </c>
      <c r="K1283" s="32">
        <v>46116</v>
      </c>
      <c r="L1283" s="25">
        <v>17</v>
      </c>
    </row>
    <row r="1284" spans="10:12">
      <c r="J1284" s="39" t="s">
        <v>67</v>
      </c>
      <c r="K1284" s="40">
        <v>46116</v>
      </c>
      <c r="L1284" s="39">
        <v>7</v>
      </c>
    </row>
    <row r="1285" spans="10:12">
      <c r="J1285" s="25" t="s">
        <v>90</v>
      </c>
      <c r="K1285" s="32">
        <v>46116</v>
      </c>
      <c r="L1285" s="25">
        <v>3</v>
      </c>
    </row>
    <row r="1286" spans="10:12">
      <c r="J1286" s="39" t="s">
        <v>53</v>
      </c>
      <c r="K1286" s="40">
        <v>46116</v>
      </c>
      <c r="L1286" s="39">
        <v>15</v>
      </c>
    </row>
    <row r="1287" spans="10:12">
      <c r="J1287" s="25" t="s">
        <v>55</v>
      </c>
      <c r="K1287" s="32">
        <v>46116</v>
      </c>
      <c r="L1287" s="25">
        <v>8</v>
      </c>
    </row>
    <row r="1288" spans="10:12">
      <c r="J1288" s="39" t="s">
        <v>43</v>
      </c>
      <c r="K1288" s="40">
        <v>46116</v>
      </c>
      <c r="L1288" s="39">
        <v>3</v>
      </c>
    </row>
    <row r="1289" spans="10:12">
      <c r="J1289" s="25" t="s">
        <v>67</v>
      </c>
      <c r="K1289" s="32">
        <v>46116</v>
      </c>
      <c r="L1289" s="25">
        <v>11</v>
      </c>
    </row>
    <row r="1290" spans="10:12">
      <c r="J1290" s="39" t="s">
        <v>86</v>
      </c>
      <c r="K1290" s="40">
        <v>46116</v>
      </c>
      <c r="L1290" s="39">
        <v>9</v>
      </c>
    </row>
    <row r="1291" spans="10:12">
      <c r="J1291" s="25" t="s">
        <v>63</v>
      </c>
      <c r="K1291" s="32">
        <v>46116</v>
      </c>
      <c r="L1291" s="25">
        <v>11</v>
      </c>
    </row>
    <row r="1292" spans="10:12">
      <c r="J1292" s="39" t="s">
        <v>11</v>
      </c>
      <c r="K1292" s="40">
        <v>46116</v>
      </c>
      <c r="L1292" s="39">
        <v>5</v>
      </c>
    </row>
    <row r="1293" spans="10:12">
      <c r="J1293" s="25" t="s">
        <v>51</v>
      </c>
      <c r="K1293" s="32">
        <v>46117</v>
      </c>
      <c r="L1293" s="25">
        <v>8</v>
      </c>
    </row>
    <row r="1294" spans="10:12">
      <c r="J1294" s="39" t="s">
        <v>18</v>
      </c>
      <c r="K1294" s="40">
        <v>46117</v>
      </c>
      <c r="L1294" s="39">
        <v>2</v>
      </c>
    </row>
    <row r="1295" spans="10:12">
      <c r="J1295" s="25" t="s">
        <v>92</v>
      </c>
      <c r="K1295" s="32">
        <v>46117</v>
      </c>
      <c r="L1295" s="25">
        <v>2</v>
      </c>
    </row>
    <row r="1296" spans="10:12">
      <c r="J1296" s="39" t="s">
        <v>18</v>
      </c>
      <c r="K1296" s="40">
        <v>46117</v>
      </c>
      <c r="L1296" s="39">
        <v>13</v>
      </c>
    </row>
    <row r="1297" spans="10:12">
      <c r="J1297" s="25" t="s">
        <v>98</v>
      </c>
      <c r="K1297" s="32">
        <v>46117</v>
      </c>
      <c r="L1297" s="25">
        <v>2</v>
      </c>
    </row>
    <row r="1298" spans="10:12">
      <c r="J1298" s="39" t="s">
        <v>65</v>
      </c>
      <c r="K1298" s="40">
        <v>46117</v>
      </c>
      <c r="L1298" s="39">
        <v>11</v>
      </c>
    </row>
    <row r="1299" spans="10:12">
      <c r="J1299" s="25" t="s">
        <v>86</v>
      </c>
      <c r="K1299" s="32">
        <v>46117</v>
      </c>
      <c r="L1299" s="25">
        <v>4</v>
      </c>
    </row>
    <row r="1300" spans="10:12">
      <c r="J1300" s="39" t="s">
        <v>61</v>
      </c>
      <c r="K1300" s="40">
        <v>46117</v>
      </c>
      <c r="L1300" s="39">
        <v>5</v>
      </c>
    </row>
    <row r="1301" spans="10:12">
      <c r="J1301" s="25" t="s">
        <v>28</v>
      </c>
      <c r="K1301" s="32">
        <v>46117</v>
      </c>
      <c r="L1301" s="25">
        <v>2</v>
      </c>
    </row>
    <row r="1302" spans="10:12">
      <c r="J1302" s="39" t="s">
        <v>11</v>
      </c>
      <c r="K1302" s="40">
        <v>46117</v>
      </c>
      <c r="L1302" s="39">
        <v>1</v>
      </c>
    </row>
    <row r="1303" spans="10:12">
      <c r="J1303" s="25" t="s">
        <v>49</v>
      </c>
      <c r="K1303" s="32">
        <v>46117</v>
      </c>
      <c r="L1303" s="25">
        <v>3</v>
      </c>
    </row>
    <row r="1304" spans="10:12">
      <c r="J1304" s="39" t="s">
        <v>53</v>
      </c>
      <c r="K1304" s="40">
        <v>46117</v>
      </c>
      <c r="L1304" s="39">
        <v>8</v>
      </c>
    </row>
    <row r="1305" spans="10:12">
      <c r="J1305" s="25" t="s">
        <v>40</v>
      </c>
      <c r="K1305" s="32">
        <v>46117</v>
      </c>
      <c r="L1305" s="25">
        <v>3</v>
      </c>
    </row>
    <row r="1306" spans="10:12">
      <c r="J1306" s="39" t="s">
        <v>53</v>
      </c>
      <c r="K1306" s="40">
        <v>46117</v>
      </c>
      <c r="L1306" s="39">
        <v>2</v>
      </c>
    </row>
    <row r="1307" spans="10:12">
      <c r="J1307" s="25" t="s">
        <v>31</v>
      </c>
      <c r="K1307" s="32">
        <v>46117</v>
      </c>
      <c r="L1307" s="25">
        <v>7</v>
      </c>
    </row>
    <row r="1308" spans="10:12">
      <c r="J1308" s="39" t="s">
        <v>92</v>
      </c>
      <c r="K1308" s="40">
        <v>46117</v>
      </c>
      <c r="L1308" s="39">
        <v>26</v>
      </c>
    </row>
    <row r="1309" spans="10:12">
      <c r="J1309" s="25" t="s">
        <v>65</v>
      </c>
      <c r="K1309" s="32">
        <v>46117</v>
      </c>
      <c r="L1309" s="25">
        <v>2</v>
      </c>
    </row>
    <row r="1310" spans="10:12">
      <c r="J1310" s="39" t="s">
        <v>88</v>
      </c>
      <c r="K1310" s="40">
        <v>46118</v>
      </c>
      <c r="L1310" s="39">
        <v>2</v>
      </c>
    </row>
    <row r="1311" spans="10:12">
      <c r="J1311" s="25" t="s">
        <v>78</v>
      </c>
      <c r="K1311" s="32">
        <v>46118</v>
      </c>
      <c r="L1311" s="25">
        <v>7</v>
      </c>
    </row>
    <row r="1312" spans="10:12">
      <c r="J1312" s="39" t="s">
        <v>46</v>
      </c>
      <c r="K1312" s="40">
        <v>46118</v>
      </c>
      <c r="L1312" s="39">
        <v>3</v>
      </c>
    </row>
    <row r="1313" spans="10:12">
      <c r="J1313" s="25" t="s">
        <v>84</v>
      </c>
      <c r="K1313" s="32">
        <v>46118</v>
      </c>
      <c r="L1313" s="25">
        <v>5</v>
      </c>
    </row>
    <row r="1314" spans="10:12">
      <c r="J1314" s="39" t="s">
        <v>67</v>
      </c>
      <c r="K1314" s="40">
        <v>46118</v>
      </c>
      <c r="L1314" s="39">
        <v>3</v>
      </c>
    </row>
    <row r="1315" spans="10:12">
      <c r="J1315" s="25" t="s">
        <v>70</v>
      </c>
      <c r="K1315" s="32">
        <v>46118</v>
      </c>
      <c r="L1315" s="25">
        <v>5</v>
      </c>
    </row>
    <row r="1316" spans="10:12">
      <c r="J1316" s="39" t="s">
        <v>74</v>
      </c>
      <c r="K1316" s="40">
        <v>46118</v>
      </c>
      <c r="L1316" s="39">
        <v>1</v>
      </c>
    </row>
    <row r="1317" spans="10:12">
      <c r="J1317" s="25" t="s">
        <v>40</v>
      </c>
      <c r="K1317" s="32">
        <v>46118</v>
      </c>
      <c r="L1317" s="25">
        <v>28</v>
      </c>
    </row>
    <row r="1318" spans="10:12">
      <c r="J1318" s="39" t="s">
        <v>38</v>
      </c>
      <c r="K1318" s="40">
        <v>46118</v>
      </c>
      <c r="L1318" s="39">
        <v>8</v>
      </c>
    </row>
    <row r="1319" spans="10:12">
      <c r="J1319" s="25" t="s">
        <v>67</v>
      </c>
      <c r="K1319" s="32">
        <v>46118</v>
      </c>
      <c r="L1319" s="25">
        <v>4</v>
      </c>
    </row>
    <row r="1320" spans="10:12">
      <c r="J1320" s="39" t="s">
        <v>35</v>
      </c>
      <c r="K1320" s="40">
        <v>46118</v>
      </c>
      <c r="L1320" s="39">
        <v>25</v>
      </c>
    </row>
    <row r="1321" spans="10:12">
      <c r="J1321" s="25" t="s">
        <v>31</v>
      </c>
      <c r="K1321" s="32">
        <v>46118</v>
      </c>
      <c r="L1321" s="25">
        <v>17</v>
      </c>
    </row>
    <row r="1322" spans="10:12">
      <c r="J1322" s="39" t="s">
        <v>80</v>
      </c>
      <c r="K1322" s="40">
        <v>46118</v>
      </c>
      <c r="L1322" s="39">
        <v>7</v>
      </c>
    </row>
    <row r="1323" spans="10:12">
      <c r="J1323" s="25" t="s">
        <v>80</v>
      </c>
      <c r="K1323" s="32">
        <v>46118</v>
      </c>
      <c r="L1323" s="25">
        <v>13</v>
      </c>
    </row>
    <row r="1324" spans="10:12">
      <c r="J1324" s="39" t="s">
        <v>35</v>
      </c>
      <c r="K1324" s="40">
        <v>46118</v>
      </c>
      <c r="L1324" s="39">
        <v>13</v>
      </c>
    </row>
    <row r="1325" spans="10:12">
      <c r="J1325" s="25" t="s">
        <v>72</v>
      </c>
      <c r="K1325" s="32">
        <v>46119</v>
      </c>
      <c r="L1325" s="25">
        <v>14</v>
      </c>
    </row>
    <row r="1326" spans="10:12">
      <c r="J1326" s="39" t="s">
        <v>88</v>
      </c>
      <c r="K1326" s="40">
        <v>46119</v>
      </c>
      <c r="L1326" s="39">
        <v>12</v>
      </c>
    </row>
    <row r="1327" spans="10:12">
      <c r="J1327" s="25" t="s">
        <v>53</v>
      </c>
      <c r="K1327" s="32">
        <v>46119</v>
      </c>
      <c r="L1327" s="25">
        <v>14</v>
      </c>
    </row>
    <row r="1328" spans="10:12">
      <c r="J1328" s="39" t="s">
        <v>80</v>
      </c>
      <c r="K1328" s="40">
        <v>46119</v>
      </c>
      <c r="L1328" s="39">
        <v>6</v>
      </c>
    </row>
    <row r="1329" spans="10:12">
      <c r="J1329" s="25" t="s">
        <v>72</v>
      </c>
      <c r="K1329" s="32">
        <v>46119</v>
      </c>
      <c r="L1329" s="25">
        <v>9</v>
      </c>
    </row>
    <row r="1330" spans="10:12">
      <c r="J1330" s="39" t="s">
        <v>92</v>
      </c>
      <c r="K1330" s="40">
        <v>46119</v>
      </c>
      <c r="L1330" s="39">
        <v>6</v>
      </c>
    </row>
    <row r="1331" spans="10:12">
      <c r="J1331" s="25" t="s">
        <v>18</v>
      </c>
      <c r="K1331" s="32">
        <v>46119</v>
      </c>
      <c r="L1331" s="25">
        <v>32</v>
      </c>
    </row>
    <row r="1332" spans="10:12">
      <c r="J1332" s="39" t="s">
        <v>96</v>
      </c>
      <c r="K1332" s="40">
        <v>46119</v>
      </c>
      <c r="L1332" s="39">
        <v>2</v>
      </c>
    </row>
    <row r="1333" spans="10:12">
      <c r="J1333" s="25" t="s">
        <v>76</v>
      </c>
      <c r="K1333" s="32">
        <v>46119</v>
      </c>
      <c r="L1333" s="25">
        <v>12</v>
      </c>
    </row>
    <row r="1334" spans="10:12">
      <c r="J1334" s="39" t="s">
        <v>84</v>
      </c>
      <c r="K1334" s="40">
        <v>46119</v>
      </c>
      <c r="L1334" s="39">
        <v>21</v>
      </c>
    </row>
    <row r="1335" spans="10:12">
      <c r="J1335" s="25" t="s">
        <v>88</v>
      </c>
      <c r="K1335" s="32">
        <v>46119</v>
      </c>
      <c r="L1335" s="25">
        <v>9</v>
      </c>
    </row>
    <row r="1336" spans="10:12">
      <c r="J1336" s="39" t="s">
        <v>82</v>
      </c>
      <c r="K1336" s="40">
        <v>46119</v>
      </c>
      <c r="L1336" s="39">
        <v>16</v>
      </c>
    </row>
    <row r="1337" spans="10:12">
      <c r="J1337" s="25" t="s">
        <v>61</v>
      </c>
      <c r="K1337" s="32">
        <v>46119</v>
      </c>
      <c r="L1337" s="25">
        <v>1</v>
      </c>
    </row>
    <row r="1338" spans="10:12">
      <c r="J1338" s="39" t="s">
        <v>88</v>
      </c>
      <c r="K1338" s="40">
        <v>46119</v>
      </c>
      <c r="L1338" s="39">
        <v>8</v>
      </c>
    </row>
    <row r="1339" spans="10:12">
      <c r="J1339" s="25" t="s">
        <v>74</v>
      </c>
      <c r="K1339" s="32">
        <v>46119</v>
      </c>
      <c r="L1339" s="25">
        <v>8</v>
      </c>
    </row>
    <row r="1340" spans="10:12">
      <c r="J1340" s="39" t="s">
        <v>92</v>
      </c>
      <c r="K1340" s="40">
        <v>46120</v>
      </c>
      <c r="L1340" s="39">
        <v>11</v>
      </c>
    </row>
    <row r="1341" spans="10:12">
      <c r="J1341" s="25" t="s">
        <v>63</v>
      </c>
      <c r="K1341" s="32">
        <v>46120</v>
      </c>
      <c r="L1341" s="25">
        <v>5</v>
      </c>
    </row>
    <row r="1342" spans="10:12">
      <c r="J1342" s="39" t="s">
        <v>35</v>
      </c>
      <c r="K1342" s="40">
        <v>46120</v>
      </c>
      <c r="L1342" s="39">
        <v>21</v>
      </c>
    </row>
    <row r="1343" spans="10:12">
      <c r="J1343" s="25" t="s">
        <v>53</v>
      </c>
      <c r="K1343" s="32">
        <v>46120</v>
      </c>
      <c r="L1343" s="25">
        <v>6</v>
      </c>
    </row>
    <row r="1344" spans="10:12">
      <c r="J1344" s="39" t="s">
        <v>98</v>
      </c>
      <c r="K1344" s="40">
        <v>46120</v>
      </c>
      <c r="L1344" s="39">
        <v>15</v>
      </c>
    </row>
    <row r="1345" spans="10:12">
      <c r="J1345" s="25" t="s">
        <v>55</v>
      </c>
      <c r="K1345" s="32">
        <v>46120</v>
      </c>
      <c r="L1345" s="25">
        <v>18</v>
      </c>
    </row>
    <row r="1346" spans="10:12">
      <c r="J1346" s="39" t="s">
        <v>72</v>
      </c>
      <c r="K1346" s="40">
        <v>46120</v>
      </c>
      <c r="L1346" s="39">
        <v>5</v>
      </c>
    </row>
    <row r="1347" spans="10:12">
      <c r="J1347" s="25" t="s">
        <v>28</v>
      </c>
      <c r="K1347" s="32">
        <v>46120</v>
      </c>
      <c r="L1347" s="25">
        <v>17</v>
      </c>
    </row>
    <row r="1348" spans="10:12">
      <c r="J1348" s="39" t="s">
        <v>88</v>
      </c>
      <c r="K1348" s="40">
        <v>46120</v>
      </c>
      <c r="L1348" s="39">
        <v>2</v>
      </c>
    </row>
    <row r="1349" spans="10:12">
      <c r="J1349" s="25" t="s">
        <v>70</v>
      </c>
      <c r="K1349" s="32">
        <v>46120</v>
      </c>
      <c r="L1349" s="25">
        <v>16</v>
      </c>
    </row>
    <row r="1350" spans="10:12">
      <c r="J1350" s="39" t="s">
        <v>18</v>
      </c>
      <c r="K1350" s="40">
        <v>46120</v>
      </c>
      <c r="L1350" s="39">
        <v>7</v>
      </c>
    </row>
    <row r="1351" spans="10:12">
      <c r="J1351" s="25" t="s">
        <v>84</v>
      </c>
      <c r="K1351" s="32">
        <v>46120</v>
      </c>
      <c r="L1351" s="25">
        <v>14</v>
      </c>
    </row>
    <row r="1352" spans="10:12">
      <c r="J1352" s="39" t="s">
        <v>96</v>
      </c>
      <c r="K1352" s="40">
        <v>46121</v>
      </c>
      <c r="L1352" s="39">
        <v>9</v>
      </c>
    </row>
    <row r="1353" spans="10:12">
      <c r="J1353" s="25" t="s">
        <v>49</v>
      </c>
      <c r="K1353" s="32">
        <v>46121</v>
      </c>
      <c r="L1353" s="25">
        <v>7</v>
      </c>
    </row>
    <row r="1354" spans="10:12">
      <c r="J1354" s="39" t="s">
        <v>96</v>
      </c>
      <c r="K1354" s="40">
        <v>46121</v>
      </c>
      <c r="L1354" s="39">
        <v>5</v>
      </c>
    </row>
    <row r="1355" spans="10:12">
      <c r="J1355" s="25" t="s">
        <v>61</v>
      </c>
      <c r="K1355" s="32">
        <v>46121</v>
      </c>
      <c r="L1355" s="25">
        <v>5</v>
      </c>
    </row>
    <row r="1356" spans="10:12">
      <c r="J1356" s="39" t="s">
        <v>98</v>
      </c>
      <c r="K1356" s="40">
        <v>46121</v>
      </c>
      <c r="L1356" s="39">
        <v>6</v>
      </c>
    </row>
    <row r="1357" spans="10:12">
      <c r="J1357" s="25" t="s">
        <v>18</v>
      </c>
      <c r="K1357" s="32">
        <v>46121</v>
      </c>
      <c r="L1357" s="25">
        <v>9</v>
      </c>
    </row>
    <row r="1358" spans="10:12">
      <c r="J1358" s="39" t="s">
        <v>88</v>
      </c>
      <c r="K1358" s="40">
        <v>46121</v>
      </c>
      <c r="L1358" s="39">
        <v>1</v>
      </c>
    </row>
    <row r="1359" spans="10:12">
      <c r="J1359" s="25" t="s">
        <v>70</v>
      </c>
      <c r="K1359" s="32">
        <v>46121</v>
      </c>
      <c r="L1359" s="25">
        <v>4</v>
      </c>
    </row>
    <row r="1360" spans="10:12">
      <c r="J1360" s="39" t="s">
        <v>31</v>
      </c>
      <c r="K1360" s="40">
        <v>46121</v>
      </c>
      <c r="L1360" s="39">
        <v>4</v>
      </c>
    </row>
    <row r="1361" spans="10:12">
      <c r="J1361" s="25" t="s">
        <v>78</v>
      </c>
      <c r="K1361" s="32">
        <v>46121</v>
      </c>
      <c r="L1361" s="25">
        <v>6</v>
      </c>
    </row>
    <row r="1362" spans="10:12">
      <c r="J1362" s="39" t="s">
        <v>82</v>
      </c>
      <c r="K1362" s="40">
        <v>46121</v>
      </c>
      <c r="L1362" s="39">
        <v>21</v>
      </c>
    </row>
    <row r="1363" spans="10:12">
      <c r="J1363" s="25" t="s">
        <v>58</v>
      </c>
      <c r="K1363" s="32">
        <v>46121</v>
      </c>
      <c r="L1363" s="25">
        <v>30</v>
      </c>
    </row>
    <row r="1364" spans="10:12">
      <c r="J1364" s="39" t="s">
        <v>63</v>
      </c>
      <c r="K1364" s="40">
        <v>46121</v>
      </c>
      <c r="L1364" s="39">
        <v>13</v>
      </c>
    </row>
    <row r="1365" spans="10:12">
      <c r="J1365" s="25" t="s">
        <v>80</v>
      </c>
      <c r="K1365" s="32">
        <v>46121</v>
      </c>
      <c r="L1365" s="25">
        <v>15</v>
      </c>
    </row>
    <row r="1366" spans="10:12">
      <c r="J1366" s="39" t="s">
        <v>98</v>
      </c>
      <c r="K1366" s="40">
        <v>46121</v>
      </c>
      <c r="L1366" s="39">
        <v>2</v>
      </c>
    </row>
    <row r="1367" spans="10:12">
      <c r="J1367" s="25" t="s">
        <v>38</v>
      </c>
      <c r="K1367" s="32">
        <v>46121</v>
      </c>
      <c r="L1367" s="25">
        <v>10</v>
      </c>
    </row>
    <row r="1368" spans="10:12">
      <c r="J1368" s="39" t="s">
        <v>80</v>
      </c>
      <c r="K1368" s="40">
        <v>46122</v>
      </c>
      <c r="L1368" s="39">
        <v>12</v>
      </c>
    </row>
    <row r="1369" spans="10:12">
      <c r="J1369" s="25" t="s">
        <v>43</v>
      </c>
      <c r="K1369" s="32">
        <v>46122</v>
      </c>
      <c r="L1369" s="25">
        <v>6</v>
      </c>
    </row>
    <row r="1370" spans="10:12">
      <c r="J1370" s="39" t="s">
        <v>92</v>
      </c>
      <c r="K1370" s="40">
        <v>46122</v>
      </c>
      <c r="L1370" s="39">
        <v>4</v>
      </c>
    </row>
    <row r="1371" spans="10:12">
      <c r="J1371" s="25" t="s">
        <v>65</v>
      </c>
      <c r="K1371" s="32">
        <v>46122</v>
      </c>
      <c r="L1371" s="25">
        <v>12</v>
      </c>
    </row>
    <row r="1372" spans="10:12">
      <c r="J1372" s="39" t="s">
        <v>74</v>
      </c>
      <c r="K1372" s="40">
        <v>46122</v>
      </c>
      <c r="L1372" s="39">
        <v>14</v>
      </c>
    </row>
    <row r="1373" spans="10:12">
      <c r="J1373" s="25" t="s">
        <v>65</v>
      </c>
      <c r="K1373" s="32">
        <v>46122</v>
      </c>
      <c r="L1373" s="25">
        <v>5</v>
      </c>
    </row>
    <row r="1374" spans="10:12">
      <c r="J1374" s="39" t="s">
        <v>67</v>
      </c>
      <c r="K1374" s="40">
        <v>46122</v>
      </c>
      <c r="L1374" s="39">
        <v>25</v>
      </c>
    </row>
    <row r="1375" spans="10:12">
      <c r="J1375" s="25" t="s">
        <v>96</v>
      </c>
      <c r="K1375" s="32">
        <v>46122</v>
      </c>
      <c r="L1375" s="25">
        <v>3</v>
      </c>
    </row>
    <row r="1376" spans="10:12">
      <c r="J1376" s="39" t="s">
        <v>92</v>
      </c>
      <c r="K1376" s="40">
        <v>46122</v>
      </c>
      <c r="L1376" s="39">
        <v>1</v>
      </c>
    </row>
    <row r="1377" spans="10:12">
      <c r="J1377" s="25" t="s">
        <v>96</v>
      </c>
      <c r="K1377" s="32">
        <v>46122</v>
      </c>
      <c r="L1377" s="25">
        <v>3</v>
      </c>
    </row>
    <row r="1378" spans="10:12">
      <c r="J1378" s="39" t="s">
        <v>18</v>
      </c>
      <c r="K1378" s="40">
        <v>46122</v>
      </c>
      <c r="L1378" s="39">
        <v>3</v>
      </c>
    </row>
    <row r="1379" spans="10:12">
      <c r="J1379" s="25" t="s">
        <v>70</v>
      </c>
      <c r="K1379" s="32">
        <v>46122</v>
      </c>
      <c r="L1379" s="25">
        <v>7</v>
      </c>
    </row>
    <row r="1380" spans="10:12">
      <c r="J1380" s="39" t="s">
        <v>53</v>
      </c>
      <c r="K1380" s="40">
        <v>46122</v>
      </c>
      <c r="L1380" s="39">
        <v>12</v>
      </c>
    </row>
    <row r="1381" spans="10:12">
      <c r="J1381" s="25" t="s">
        <v>90</v>
      </c>
      <c r="K1381" s="32">
        <v>46122</v>
      </c>
      <c r="L1381" s="25">
        <v>12</v>
      </c>
    </row>
    <row r="1382" spans="10:12">
      <c r="J1382" s="39" t="s">
        <v>76</v>
      </c>
      <c r="K1382" s="40">
        <v>46122</v>
      </c>
      <c r="L1382" s="39">
        <v>6</v>
      </c>
    </row>
    <row r="1383" spans="10:12">
      <c r="J1383" s="25" t="s">
        <v>65</v>
      </c>
      <c r="K1383" s="32">
        <v>46122</v>
      </c>
      <c r="L1383" s="25">
        <v>4</v>
      </c>
    </row>
    <row r="1384" spans="10:12">
      <c r="J1384" s="39" t="s">
        <v>46</v>
      </c>
      <c r="K1384" s="40">
        <v>46122</v>
      </c>
      <c r="L1384" s="39">
        <v>5</v>
      </c>
    </row>
    <row r="1385" spans="10:12">
      <c r="J1385" s="25" t="s">
        <v>65</v>
      </c>
      <c r="K1385" s="32">
        <v>46122</v>
      </c>
      <c r="L1385" s="25">
        <v>8</v>
      </c>
    </row>
    <row r="1386" spans="10:12">
      <c r="J1386" s="39" t="s">
        <v>58</v>
      </c>
      <c r="K1386" s="40">
        <v>46122</v>
      </c>
      <c r="L1386" s="39">
        <v>11</v>
      </c>
    </row>
    <row r="1387" spans="10:12">
      <c r="J1387" s="25" t="s">
        <v>86</v>
      </c>
      <c r="K1387" s="32">
        <v>46122</v>
      </c>
      <c r="L1387" s="25">
        <v>13</v>
      </c>
    </row>
    <row r="1388" spans="10:12">
      <c r="J1388" s="39" t="s">
        <v>88</v>
      </c>
      <c r="K1388" s="40">
        <v>46123</v>
      </c>
      <c r="L1388" s="39">
        <v>2</v>
      </c>
    </row>
    <row r="1389" spans="10:12">
      <c r="J1389" s="25" t="s">
        <v>88</v>
      </c>
      <c r="K1389" s="32">
        <v>46123</v>
      </c>
      <c r="L1389" s="25">
        <v>1</v>
      </c>
    </row>
    <row r="1390" spans="10:12">
      <c r="J1390" s="39" t="s">
        <v>74</v>
      </c>
      <c r="K1390" s="40">
        <v>46123</v>
      </c>
      <c r="L1390" s="39">
        <v>8</v>
      </c>
    </row>
    <row r="1391" spans="10:12">
      <c r="J1391" s="25" t="s">
        <v>31</v>
      </c>
      <c r="K1391" s="32">
        <v>46123</v>
      </c>
      <c r="L1391" s="25">
        <v>11</v>
      </c>
    </row>
    <row r="1392" spans="10:12">
      <c r="J1392" s="39" t="s">
        <v>76</v>
      </c>
      <c r="K1392" s="40">
        <v>46123</v>
      </c>
      <c r="L1392" s="39">
        <v>23</v>
      </c>
    </row>
    <row r="1393" spans="10:12">
      <c r="J1393" s="25" t="s">
        <v>92</v>
      </c>
      <c r="K1393" s="32">
        <v>46123</v>
      </c>
      <c r="L1393" s="25">
        <v>2</v>
      </c>
    </row>
    <row r="1394" spans="10:12">
      <c r="J1394" s="39" t="s">
        <v>72</v>
      </c>
      <c r="K1394" s="40">
        <v>46123</v>
      </c>
      <c r="L1394" s="39">
        <v>15</v>
      </c>
    </row>
    <row r="1395" spans="10:12">
      <c r="J1395" s="25" t="s">
        <v>96</v>
      </c>
      <c r="K1395" s="32">
        <v>46123</v>
      </c>
      <c r="L1395" s="25">
        <v>2</v>
      </c>
    </row>
    <row r="1396" spans="10:12">
      <c r="J1396" s="39" t="s">
        <v>40</v>
      </c>
      <c r="K1396" s="40">
        <v>46123</v>
      </c>
      <c r="L1396" s="39">
        <v>16</v>
      </c>
    </row>
    <row r="1397" spans="10:12">
      <c r="J1397" s="25" t="s">
        <v>82</v>
      </c>
      <c r="K1397" s="32">
        <v>46123</v>
      </c>
      <c r="L1397" s="25">
        <v>2</v>
      </c>
    </row>
    <row r="1398" spans="10:12">
      <c r="J1398" s="39" t="s">
        <v>76</v>
      </c>
      <c r="K1398" s="40">
        <v>46123</v>
      </c>
      <c r="L1398" s="39">
        <v>11</v>
      </c>
    </row>
    <row r="1399" spans="10:12">
      <c r="J1399" s="25" t="s">
        <v>40</v>
      </c>
      <c r="K1399" s="32">
        <v>46124</v>
      </c>
      <c r="L1399" s="25">
        <v>12</v>
      </c>
    </row>
    <row r="1400" spans="10:12">
      <c r="J1400" s="39" t="s">
        <v>88</v>
      </c>
      <c r="K1400" s="40">
        <v>46124</v>
      </c>
      <c r="L1400" s="39">
        <v>4</v>
      </c>
    </row>
    <row r="1401" spans="10:12">
      <c r="J1401" s="25" t="s">
        <v>58</v>
      </c>
      <c r="K1401" s="32">
        <v>46124</v>
      </c>
      <c r="L1401" s="25">
        <v>16</v>
      </c>
    </row>
    <row r="1402" spans="10:12">
      <c r="J1402" s="39" t="s">
        <v>18</v>
      </c>
      <c r="K1402" s="40">
        <v>46124</v>
      </c>
      <c r="L1402" s="39">
        <v>10</v>
      </c>
    </row>
    <row r="1403" spans="10:12">
      <c r="J1403" s="25" t="s">
        <v>72</v>
      </c>
      <c r="K1403" s="32">
        <v>46124</v>
      </c>
      <c r="L1403" s="25">
        <v>18</v>
      </c>
    </row>
    <row r="1404" spans="10:12">
      <c r="J1404" s="39" t="s">
        <v>92</v>
      </c>
      <c r="K1404" s="40">
        <v>46124</v>
      </c>
      <c r="L1404" s="39">
        <v>9</v>
      </c>
    </row>
    <row r="1405" spans="10:12">
      <c r="J1405" s="25" t="s">
        <v>65</v>
      </c>
      <c r="K1405" s="32">
        <v>46124</v>
      </c>
      <c r="L1405" s="25">
        <v>7</v>
      </c>
    </row>
    <row r="1406" spans="10:12">
      <c r="J1406" s="39" t="s">
        <v>98</v>
      </c>
      <c r="K1406" s="40">
        <v>46124</v>
      </c>
      <c r="L1406" s="39">
        <v>11</v>
      </c>
    </row>
    <row r="1407" spans="10:12">
      <c r="J1407" s="25" t="s">
        <v>31</v>
      </c>
      <c r="K1407" s="32">
        <v>46124</v>
      </c>
      <c r="L1407" s="25">
        <v>10</v>
      </c>
    </row>
    <row r="1408" spans="10:12">
      <c r="J1408" s="39" t="s">
        <v>65</v>
      </c>
      <c r="K1408" s="40">
        <v>46124</v>
      </c>
      <c r="L1408" s="39">
        <v>15</v>
      </c>
    </row>
    <row r="1409" spans="10:12">
      <c r="J1409" s="25" t="s">
        <v>43</v>
      </c>
      <c r="K1409" s="32">
        <v>46124</v>
      </c>
      <c r="L1409" s="25">
        <v>2</v>
      </c>
    </row>
    <row r="1410" spans="10:12">
      <c r="J1410" s="39" t="s">
        <v>96</v>
      </c>
      <c r="K1410" s="40">
        <v>46124</v>
      </c>
      <c r="L1410" s="39">
        <v>17</v>
      </c>
    </row>
    <row r="1411" spans="10:12">
      <c r="J1411" s="25" t="s">
        <v>53</v>
      </c>
      <c r="K1411" s="32">
        <v>46124</v>
      </c>
      <c r="L1411" s="25">
        <v>1</v>
      </c>
    </row>
    <row r="1412" spans="10:12">
      <c r="J1412" s="39" t="s">
        <v>74</v>
      </c>
      <c r="K1412" s="40">
        <v>46124</v>
      </c>
      <c r="L1412" s="39">
        <v>6</v>
      </c>
    </row>
    <row r="1413" spans="10:12">
      <c r="J1413" s="25" t="s">
        <v>72</v>
      </c>
      <c r="K1413" s="32">
        <v>46124</v>
      </c>
      <c r="L1413" s="25">
        <v>1</v>
      </c>
    </row>
    <row r="1414" spans="10:12">
      <c r="J1414" s="39" t="s">
        <v>86</v>
      </c>
      <c r="K1414" s="40">
        <v>46124</v>
      </c>
      <c r="L1414" s="39">
        <v>12</v>
      </c>
    </row>
    <row r="1415" spans="10:12">
      <c r="J1415" s="25" t="s">
        <v>94</v>
      </c>
      <c r="K1415" s="32">
        <v>46125</v>
      </c>
      <c r="L1415" s="25">
        <v>2</v>
      </c>
    </row>
    <row r="1416" spans="10:12">
      <c r="J1416" s="39" t="s">
        <v>28</v>
      </c>
      <c r="K1416" s="40">
        <v>46125</v>
      </c>
      <c r="L1416" s="39">
        <v>4</v>
      </c>
    </row>
    <row r="1417" spans="10:12">
      <c r="J1417" s="25" t="s">
        <v>46</v>
      </c>
      <c r="K1417" s="32">
        <v>46125</v>
      </c>
      <c r="L1417" s="25">
        <v>7</v>
      </c>
    </row>
    <row r="1418" spans="10:12">
      <c r="J1418" s="39" t="s">
        <v>35</v>
      </c>
      <c r="K1418" s="40">
        <v>46125</v>
      </c>
      <c r="L1418" s="39">
        <v>3</v>
      </c>
    </row>
    <row r="1419" spans="10:12">
      <c r="J1419" s="25" t="s">
        <v>92</v>
      </c>
      <c r="K1419" s="32">
        <v>46125</v>
      </c>
      <c r="L1419" s="25">
        <v>5</v>
      </c>
    </row>
    <row r="1420" spans="10:12">
      <c r="J1420" s="39" t="s">
        <v>82</v>
      </c>
      <c r="K1420" s="40">
        <v>46125</v>
      </c>
      <c r="L1420" s="39">
        <v>12</v>
      </c>
    </row>
    <row r="1421" spans="10:12">
      <c r="J1421" s="25" t="s">
        <v>98</v>
      </c>
      <c r="K1421" s="32">
        <v>46125</v>
      </c>
      <c r="L1421" s="25">
        <v>5</v>
      </c>
    </row>
    <row r="1422" spans="10:12">
      <c r="J1422" s="39" t="s">
        <v>72</v>
      </c>
      <c r="K1422" s="40">
        <v>46125</v>
      </c>
      <c r="L1422" s="39">
        <v>9</v>
      </c>
    </row>
    <row r="1423" spans="10:12">
      <c r="J1423" s="25" t="s">
        <v>96</v>
      </c>
      <c r="K1423" s="32">
        <v>46125</v>
      </c>
      <c r="L1423" s="25">
        <v>11</v>
      </c>
    </row>
    <row r="1424" spans="10:12">
      <c r="J1424" s="39" t="s">
        <v>28</v>
      </c>
      <c r="K1424" s="40">
        <v>46125</v>
      </c>
      <c r="L1424" s="39">
        <v>14</v>
      </c>
    </row>
    <row r="1425" spans="10:12">
      <c r="J1425" s="25" t="s">
        <v>72</v>
      </c>
      <c r="K1425" s="32">
        <v>46125</v>
      </c>
      <c r="L1425" s="25">
        <v>10</v>
      </c>
    </row>
    <row r="1426" spans="10:12">
      <c r="J1426" s="39" t="s">
        <v>82</v>
      </c>
      <c r="K1426" s="40">
        <v>46126</v>
      </c>
      <c r="L1426" s="39">
        <v>6</v>
      </c>
    </row>
    <row r="1427" spans="10:12">
      <c r="J1427" s="25" t="s">
        <v>53</v>
      </c>
      <c r="K1427" s="32">
        <v>46126</v>
      </c>
      <c r="L1427" s="25">
        <v>5</v>
      </c>
    </row>
    <row r="1428" spans="10:12">
      <c r="J1428" s="39" t="s">
        <v>35</v>
      </c>
      <c r="K1428" s="40">
        <v>46126</v>
      </c>
      <c r="L1428" s="39">
        <v>3</v>
      </c>
    </row>
    <row r="1429" spans="10:12">
      <c r="J1429" s="25" t="s">
        <v>65</v>
      </c>
      <c r="K1429" s="32">
        <v>46126</v>
      </c>
      <c r="L1429" s="25">
        <v>5</v>
      </c>
    </row>
    <row r="1430" spans="10:12">
      <c r="J1430" s="39" t="s">
        <v>96</v>
      </c>
      <c r="K1430" s="40">
        <v>46126</v>
      </c>
      <c r="L1430" s="39">
        <v>5</v>
      </c>
    </row>
    <row r="1431" spans="10:12">
      <c r="J1431" s="25" t="s">
        <v>86</v>
      </c>
      <c r="K1431" s="32">
        <v>46126</v>
      </c>
      <c r="L1431" s="25">
        <v>9</v>
      </c>
    </row>
    <row r="1432" spans="10:12">
      <c r="J1432" s="39" t="s">
        <v>51</v>
      </c>
      <c r="K1432" s="40">
        <v>46126</v>
      </c>
      <c r="L1432" s="39">
        <v>20</v>
      </c>
    </row>
    <row r="1433" spans="10:12">
      <c r="J1433" s="25" t="s">
        <v>63</v>
      </c>
      <c r="K1433" s="32">
        <v>46126</v>
      </c>
      <c r="L1433" s="25">
        <v>1</v>
      </c>
    </row>
    <row r="1434" spans="10:12">
      <c r="J1434" s="39" t="s">
        <v>84</v>
      </c>
      <c r="K1434" s="40">
        <v>46126</v>
      </c>
      <c r="L1434" s="39">
        <v>3</v>
      </c>
    </row>
    <row r="1435" spans="10:12">
      <c r="J1435" s="25" t="s">
        <v>31</v>
      </c>
      <c r="K1435" s="32">
        <v>46126</v>
      </c>
      <c r="L1435" s="25">
        <v>5</v>
      </c>
    </row>
    <row r="1436" spans="10:12">
      <c r="J1436" s="39" t="s">
        <v>63</v>
      </c>
      <c r="K1436" s="40">
        <v>46126</v>
      </c>
      <c r="L1436" s="39">
        <v>28</v>
      </c>
    </row>
    <row r="1437" spans="10:12">
      <c r="J1437" s="25" t="s">
        <v>94</v>
      </c>
      <c r="K1437" s="32">
        <v>46126</v>
      </c>
      <c r="L1437" s="25">
        <v>6</v>
      </c>
    </row>
    <row r="1438" spans="10:12">
      <c r="J1438" s="39" t="s">
        <v>18</v>
      </c>
      <c r="K1438" s="40">
        <v>46127</v>
      </c>
      <c r="L1438" s="39">
        <v>1</v>
      </c>
    </row>
    <row r="1439" spans="10:12">
      <c r="J1439" s="25" t="s">
        <v>53</v>
      </c>
      <c r="K1439" s="32">
        <v>46127</v>
      </c>
      <c r="L1439" s="25">
        <v>4</v>
      </c>
    </row>
    <row r="1440" spans="10:12">
      <c r="J1440" s="39" t="s">
        <v>18</v>
      </c>
      <c r="K1440" s="40">
        <v>46127</v>
      </c>
      <c r="L1440" s="39">
        <v>3</v>
      </c>
    </row>
    <row r="1441" spans="10:12">
      <c r="J1441" s="25" t="s">
        <v>65</v>
      </c>
      <c r="K1441" s="32">
        <v>46127</v>
      </c>
      <c r="L1441" s="25">
        <v>16</v>
      </c>
    </row>
    <row r="1442" spans="10:12">
      <c r="J1442" s="39" t="s">
        <v>46</v>
      </c>
      <c r="K1442" s="40">
        <v>46127</v>
      </c>
      <c r="L1442" s="39">
        <v>2</v>
      </c>
    </row>
    <row r="1443" spans="10:12">
      <c r="J1443" s="25" t="s">
        <v>72</v>
      </c>
      <c r="K1443" s="32">
        <v>46127</v>
      </c>
      <c r="L1443" s="25">
        <v>17</v>
      </c>
    </row>
    <row r="1444" spans="10:12">
      <c r="J1444" s="39" t="s">
        <v>53</v>
      </c>
      <c r="K1444" s="40">
        <v>46127</v>
      </c>
      <c r="L1444" s="39">
        <v>2</v>
      </c>
    </row>
    <row r="1445" spans="10:12">
      <c r="J1445" s="25" t="s">
        <v>49</v>
      </c>
      <c r="K1445" s="32">
        <v>46127</v>
      </c>
      <c r="L1445" s="25">
        <v>16</v>
      </c>
    </row>
    <row r="1446" spans="10:12">
      <c r="J1446" s="39" t="s">
        <v>53</v>
      </c>
      <c r="K1446" s="40">
        <v>46127</v>
      </c>
      <c r="L1446" s="39">
        <v>4</v>
      </c>
    </row>
    <row r="1447" spans="10:12">
      <c r="J1447" s="25" t="s">
        <v>43</v>
      </c>
      <c r="K1447" s="32">
        <v>46127</v>
      </c>
      <c r="L1447" s="25">
        <v>14</v>
      </c>
    </row>
    <row r="1448" spans="10:12">
      <c r="J1448" s="39" t="s">
        <v>88</v>
      </c>
      <c r="K1448" s="40">
        <v>46127</v>
      </c>
      <c r="L1448" s="39">
        <v>2</v>
      </c>
    </row>
    <row r="1449" spans="10:12">
      <c r="J1449" s="25" t="s">
        <v>53</v>
      </c>
      <c r="K1449" s="32">
        <v>46127</v>
      </c>
      <c r="L1449" s="25">
        <v>1</v>
      </c>
    </row>
    <row r="1450" spans="10:12">
      <c r="J1450" s="39" t="s">
        <v>65</v>
      </c>
      <c r="K1450" s="40">
        <v>46128</v>
      </c>
      <c r="L1450" s="39">
        <v>13</v>
      </c>
    </row>
    <row r="1451" spans="10:12">
      <c r="J1451" s="25" t="s">
        <v>80</v>
      </c>
      <c r="K1451" s="32">
        <v>46128</v>
      </c>
      <c r="L1451" s="25">
        <v>10</v>
      </c>
    </row>
    <row r="1452" spans="10:12">
      <c r="J1452" s="39" t="s">
        <v>43</v>
      </c>
      <c r="K1452" s="40">
        <v>46128</v>
      </c>
      <c r="L1452" s="39">
        <v>17</v>
      </c>
    </row>
    <row r="1453" spans="10:12">
      <c r="J1453" s="25" t="s">
        <v>100</v>
      </c>
      <c r="K1453" s="32">
        <v>46128</v>
      </c>
      <c r="L1453" s="25">
        <v>10</v>
      </c>
    </row>
    <row r="1454" spans="10:12">
      <c r="J1454" s="39" t="s">
        <v>90</v>
      </c>
      <c r="K1454" s="40">
        <v>46128</v>
      </c>
      <c r="L1454" s="39">
        <v>3</v>
      </c>
    </row>
    <row r="1455" spans="10:12">
      <c r="J1455" s="25" t="s">
        <v>55</v>
      </c>
      <c r="K1455" s="32">
        <v>46128</v>
      </c>
      <c r="L1455" s="25">
        <v>11</v>
      </c>
    </row>
    <row r="1456" spans="10:12">
      <c r="J1456" s="39" t="s">
        <v>82</v>
      </c>
      <c r="K1456" s="40">
        <v>46128</v>
      </c>
      <c r="L1456" s="39">
        <v>14</v>
      </c>
    </row>
    <row r="1457" spans="10:12">
      <c r="J1457" s="25" t="s">
        <v>38</v>
      </c>
      <c r="K1457" s="32">
        <v>46128</v>
      </c>
      <c r="L1457" s="25">
        <v>10</v>
      </c>
    </row>
    <row r="1458" spans="10:12">
      <c r="J1458" s="39" t="s">
        <v>92</v>
      </c>
      <c r="K1458" s="40">
        <v>46128</v>
      </c>
      <c r="L1458" s="39">
        <v>6</v>
      </c>
    </row>
    <row r="1459" spans="10:12">
      <c r="J1459" s="25" t="s">
        <v>11</v>
      </c>
      <c r="K1459" s="32">
        <v>46128</v>
      </c>
      <c r="L1459" s="25">
        <v>1</v>
      </c>
    </row>
    <row r="1460" spans="10:12">
      <c r="J1460" s="39" t="s">
        <v>31</v>
      </c>
      <c r="K1460" s="40">
        <v>46128</v>
      </c>
      <c r="L1460" s="39">
        <v>16</v>
      </c>
    </row>
    <row r="1461" spans="10:12">
      <c r="J1461" s="25" t="s">
        <v>31</v>
      </c>
      <c r="K1461" s="32">
        <v>46128</v>
      </c>
      <c r="L1461" s="25">
        <v>8</v>
      </c>
    </row>
    <row r="1462" spans="10:12">
      <c r="J1462" s="39" t="s">
        <v>38</v>
      </c>
      <c r="K1462" s="40">
        <v>46128</v>
      </c>
      <c r="L1462" s="39">
        <v>18</v>
      </c>
    </row>
    <row r="1463" spans="10:12">
      <c r="J1463" s="25" t="s">
        <v>46</v>
      </c>
      <c r="K1463" s="32">
        <v>46128</v>
      </c>
      <c r="L1463" s="25">
        <v>3</v>
      </c>
    </row>
    <row r="1464" spans="10:12">
      <c r="J1464" s="39" t="s">
        <v>11</v>
      </c>
      <c r="K1464" s="40">
        <v>46128</v>
      </c>
      <c r="L1464" s="39">
        <v>13</v>
      </c>
    </row>
    <row r="1465" spans="10:12">
      <c r="J1465" s="25" t="s">
        <v>61</v>
      </c>
      <c r="K1465" s="32">
        <v>46128</v>
      </c>
      <c r="L1465" s="25">
        <v>18</v>
      </c>
    </row>
    <row r="1466" spans="10:12">
      <c r="J1466" s="39" t="s">
        <v>31</v>
      </c>
      <c r="K1466" s="40">
        <v>46128</v>
      </c>
      <c r="L1466" s="39">
        <v>33</v>
      </c>
    </row>
    <row r="1467" spans="10:12">
      <c r="J1467" s="25" t="s">
        <v>46</v>
      </c>
      <c r="K1467" s="32">
        <v>46129</v>
      </c>
      <c r="L1467" s="25">
        <v>6</v>
      </c>
    </row>
    <row r="1468" spans="10:12">
      <c r="J1468" s="39" t="s">
        <v>88</v>
      </c>
      <c r="K1468" s="40">
        <v>46129</v>
      </c>
      <c r="L1468" s="39">
        <v>17</v>
      </c>
    </row>
    <row r="1469" spans="10:12">
      <c r="J1469" s="25" t="s">
        <v>51</v>
      </c>
      <c r="K1469" s="32">
        <v>46129</v>
      </c>
      <c r="L1469" s="25">
        <v>17</v>
      </c>
    </row>
    <row r="1470" spans="10:12">
      <c r="J1470" s="39" t="s">
        <v>11</v>
      </c>
      <c r="K1470" s="40">
        <v>46129</v>
      </c>
      <c r="L1470" s="39">
        <v>5</v>
      </c>
    </row>
    <row r="1471" spans="10:12">
      <c r="J1471" s="25" t="s">
        <v>70</v>
      </c>
      <c r="K1471" s="32">
        <v>46129</v>
      </c>
      <c r="L1471" s="25">
        <v>2</v>
      </c>
    </row>
    <row r="1472" spans="10:12">
      <c r="J1472" s="39" t="s">
        <v>58</v>
      </c>
      <c r="K1472" s="40">
        <v>46129</v>
      </c>
      <c r="L1472" s="39">
        <v>3</v>
      </c>
    </row>
    <row r="1473" spans="10:12">
      <c r="J1473" s="25" t="s">
        <v>11</v>
      </c>
      <c r="K1473" s="32">
        <v>46129</v>
      </c>
      <c r="L1473" s="25">
        <v>16</v>
      </c>
    </row>
    <row r="1474" spans="10:12">
      <c r="J1474" s="39" t="s">
        <v>55</v>
      </c>
      <c r="K1474" s="40">
        <v>46129</v>
      </c>
      <c r="L1474" s="39">
        <v>14</v>
      </c>
    </row>
    <row r="1475" spans="10:12">
      <c r="J1475" s="25" t="s">
        <v>28</v>
      </c>
      <c r="K1475" s="32">
        <v>46129</v>
      </c>
      <c r="L1475" s="25">
        <v>1</v>
      </c>
    </row>
    <row r="1476" spans="10:12">
      <c r="J1476" s="39" t="s">
        <v>78</v>
      </c>
      <c r="K1476" s="40">
        <v>46129</v>
      </c>
      <c r="L1476" s="39">
        <v>13</v>
      </c>
    </row>
    <row r="1477" spans="10:12">
      <c r="J1477" s="25" t="s">
        <v>40</v>
      </c>
      <c r="K1477" s="32">
        <v>46129</v>
      </c>
      <c r="L1477" s="25">
        <v>7</v>
      </c>
    </row>
    <row r="1478" spans="10:12">
      <c r="J1478" s="39" t="s">
        <v>80</v>
      </c>
      <c r="K1478" s="40">
        <v>46129</v>
      </c>
      <c r="L1478" s="39">
        <v>9</v>
      </c>
    </row>
    <row r="1479" spans="10:12">
      <c r="J1479" s="25" t="s">
        <v>35</v>
      </c>
      <c r="K1479" s="32">
        <v>46129</v>
      </c>
      <c r="L1479" s="25">
        <v>8</v>
      </c>
    </row>
    <row r="1480" spans="10:12">
      <c r="J1480" s="39" t="s">
        <v>55</v>
      </c>
      <c r="K1480" s="40">
        <v>46129</v>
      </c>
      <c r="L1480" s="39">
        <v>7</v>
      </c>
    </row>
    <row r="1481" spans="10:12">
      <c r="J1481" s="25" t="s">
        <v>58</v>
      </c>
      <c r="K1481" s="32">
        <v>46129</v>
      </c>
      <c r="L1481" s="25">
        <v>11</v>
      </c>
    </row>
    <row r="1482" spans="10:12">
      <c r="J1482" s="39" t="s">
        <v>88</v>
      </c>
      <c r="K1482" s="40">
        <v>46129</v>
      </c>
      <c r="L1482" s="39">
        <v>18</v>
      </c>
    </row>
    <row r="1483" spans="10:12">
      <c r="J1483" s="25" t="s">
        <v>53</v>
      </c>
      <c r="K1483" s="32">
        <v>46129</v>
      </c>
      <c r="L1483" s="25">
        <v>15</v>
      </c>
    </row>
    <row r="1484" spans="10:12">
      <c r="J1484" s="39" t="s">
        <v>96</v>
      </c>
      <c r="K1484" s="40">
        <v>46129</v>
      </c>
      <c r="L1484" s="39">
        <v>8</v>
      </c>
    </row>
    <row r="1485" spans="10:12">
      <c r="J1485" s="25" t="s">
        <v>61</v>
      </c>
      <c r="K1485" s="32">
        <v>46129</v>
      </c>
      <c r="L1485" s="25">
        <v>5</v>
      </c>
    </row>
    <row r="1486" spans="10:12">
      <c r="J1486" s="39" t="s">
        <v>63</v>
      </c>
      <c r="K1486" s="40">
        <v>46129</v>
      </c>
      <c r="L1486" s="39">
        <v>3</v>
      </c>
    </row>
    <row r="1487" spans="10:12">
      <c r="J1487" s="25" t="s">
        <v>72</v>
      </c>
      <c r="K1487" s="32">
        <v>46129</v>
      </c>
      <c r="L1487" s="25">
        <v>16</v>
      </c>
    </row>
    <row r="1488" spans="10:12">
      <c r="J1488" s="39" t="s">
        <v>100</v>
      </c>
      <c r="K1488" s="40">
        <v>46129</v>
      </c>
      <c r="L1488" s="39">
        <v>3</v>
      </c>
    </row>
    <row r="1489" spans="10:12">
      <c r="J1489" s="25" t="s">
        <v>90</v>
      </c>
      <c r="K1489" s="32">
        <v>46130</v>
      </c>
      <c r="L1489" s="25">
        <v>15</v>
      </c>
    </row>
    <row r="1490" spans="10:12">
      <c r="J1490" s="39" t="s">
        <v>78</v>
      </c>
      <c r="K1490" s="40">
        <v>46130</v>
      </c>
      <c r="L1490" s="39">
        <v>14</v>
      </c>
    </row>
    <row r="1491" spans="10:12">
      <c r="J1491" s="25" t="s">
        <v>28</v>
      </c>
      <c r="K1491" s="32">
        <v>46130</v>
      </c>
      <c r="L1491" s="25">
        <v>13</v>
      </c>
    </row>
    <row r="1492" spans="10:12">
      <c r="J1492" s="39" t="s">
        <v>65</v>
      </c>
      <c r="K1492" s="40">
        <v>46130</v>
      </c>
      <c r="L1492" s="39">
        <v>1</v>
      </c>
    </row>
    <row r="1493" spans="10:12">
      <c r="J1493" s="25" t="s">
        <v>70</v>
      </c>
      <c r="K1493" s="32">
        <v>46130</v>
      </c>
      <c r="L1493" s="25">
        <v>13</v>
      </c>
    </row>
    <row r="1494" spans="10:12">
      <c r="J1494" s="39" t="s">
        <v>88</v>
      </c>
      <c r="K1494" s="40">
        <v>46130</v>
      </c>
      <c r="L1494" s="39">
        <v>9</v>
      </c>
    </row>
    <row r="1495" spans="10:12">
      <c r="J1495" s="25" t="s">
        <v>82</v>
      </c>
      <c r="K1495" s="32">
        <v>46130</v>
      </c>
      <c r="L1495" s="25">
        <v>1</v>
      </c>
    </row>
    <row r="1496" spans="10:12">
      <c r="J1496" s="39" t="s">
        <v>55</v>
      </c>
      <c r="K1496" s="40">
        <v>46130</v>
      </c>
      <c r="L1496" s="39">
        <v>7</v>
      </c>
    </row>
    <row r="1497" spans="10:12">
      <c r="J1497" s="25" t="s">
        <v>92</v>
      </c>
      <c r="K1497" s="32">
        <v>46131</v>
      </c>
      <c r="L1497" s="25">
        <v>11</v>
      </c>
    </row>
    <row r="1498" spans="10:12">
      <c r="J1498" s="39" t="s">
        <v>94</v>
      </c>
      <c r="K1498" s="40">
        <v>46131</v>
      </c>
      <c r="L1498" s="39">
        <v>2</v>
      </c>
    </row>
    <row r="1499" spans="10:12">
      <c r="J1499" s="25" t="s">
        <v>67</v>
      </c>
      <c r="K1499" s="32">
        <v>46131</v>
      </c>
      <c r="L1499" s="25">
        <v>29</v>
      </c>
    </row>
    <row r="1500" spans="10:12">
      <c r="J1500" s="39" t="s">
        <v>72</v>
      </c>
      <c r="K1500" s="40">
        <v>46131</v>
      </c>
      <c r="L1500" s="39">
        <v>9</v>
      </c>
    </row>
    <row r="1501" spans="10:12">
      <c r="J1501" s="25" t="s">
        <v>67</v>
      </c>
      <c r="K1501" s="32">
        <v>46131</v>
      </c>
      <c r="L1501" s="25">
        <v>17</v>
      </c>
    </row>
    <row r="1502" spans="10:12">
      <c r="J1502" s="39" t="s">
        <v>94</v>
      </c>
      <c r="K1502" s="40">
        <v>46131</v>
      </c>
      <c r="L1502" s="39">
        <v>8</v>
      </c>
    </row>
    <row r="1503" spans="10:12">
      <c r="J1503" s="25" t="s">
        <v>80</v>
      </c>
      <c r="K1503" s="32">
        <v>46131</v>
      </c>
      <c r="L1503" s="25">
        <v>28</v>
      </c>
    </row>
    <row r="1504" spans="10:12">
      <c r="J1504" s="39" t="s">
        <v>49</v>
      </c>
      <c r="K1504" s="40">
        <v>46131</v>
      </c>
      <c r="L1504" s="39">
        <v>15</v>
      </c>
    </row>
    <row r="1505" spans="10:12">
      <c r="J1505" s="25" t="s">
        <v>18</v>
      </c>
      <c r="K1505" s="32">
        <v>46131</v>
      </c>
      <c r="L1505" s="25">
        <v>9</v>
      </c>
    </row>
    <row r="1506" spans="10:12">
      <c r="J1506" s="39" t="s">
        <v>92</v>
      </c>
      <c r="K1506" s="40">
        <v>46131</v>
      </c>
      <c r="L1506" s="39">
        <v>15</v>
      </c>
    </row>
    <row r="1507" spans="10:12">
      <c r="J1507" s="25" t="s">
        <v>49</v>
      </c>
      <c r="K1507" s="32">
        <v>46131</v>
      </c>
      <c r="L1507" s="25">
        <v>5</v>
      </c>
    </row>
    <row r="1508" spans="10:12">
      <c r="J1508" s="39" t="s">
        <v>70</v>
      </c>
      <c r="K1508" s="40">
        <v>46131</v>
      </c>
      <c r="L1508" s="39">
        <v>5</v>
      </c>
    </row>
    <row r="1509" spans="10:12">
      <c r="J1509" s="25" t="s">
        <v>78</v>
      </c>
      <c r="K1509" s="32">
        <v>46131</v>
      </c>
      <c r="L1509" s="25">
        <v>12</v>
      </c>
    </row>
    <row r="1510" spans="10:12">
      <c r="J1510" s="39" t="s">
        <v>70</v>
      </c>
      <c r="K1510" s="40">
        <v>46131</v>
      </c>
      <c r="L1510" s="39">
        <v>10</v>
      </c>
    </row>
    <row r="1511" spans="10:12">
      <c r="J1511" s="25" t="s">
        <v>100</v>
      </c>
      <c r="K1511" s="32">
        <v>46131</v>
      </c>
      <c r="L1511" s="25">
        <v>7</v>
      </c>
    </row>
    <row r="1512" spans="10:12">
      <c r="J1512" s="39" t="s">
        <v>90</v>
      </c>
      <c r="K1512" s="40">
        <v>46131</v>
      </c>
      <c r="L1512" s="39">
        <v>19</v>
      </c>
    </row>
    <row r="1513" spans="10:12">
      <c r="J1513" s="25" t="s">
        <v>78</v>
      </c>
      <c r="K1513" s="32">
        <v>46132</v>
      </c>
      <c r="L1513" s="25">
        <v>12</v>
      </c>
    </row>
    <row r="1514" spans="10:12">
      <c r="J1514" s="39" t="s">
        <v>46</v>
      </c>
      <c r="K1514" s="40">
        <v>46132</v>
      </c>
      <c r="L1514" s="39">
        <v>6</v>
      </c>
    </row>
    <row r="1515" spans="10:12">
      <c r="J1515" s="25" t="s">
        <v>51</v>
      </c>
      <c r="K1515" s="32">
        <v>46132</v>
      </c>
      <c r="L1515" s="25">
        <v>1</v>
      </c>
    </row>
    <row r="1516" spans="10:12">
      <c r="J1516" s="39" t="s">
        <v>96</v>
      </c>
      <c r="K1516" s="40">
        <v>46132</v>
      </c>
      <c r="L1516" s="39">
        <v>5</v>
      </c>
    </row>
    <row r="1517" spans="10:12">
      <c r="J1517" s="25" t="s">
        <v>74</v>
      </c>
      <c r="K1517" s="32">
        <v>46132</v>
      </c>
      <c r="L1517" s="25">
        <v>12</v>
      </c>
    </row>
    <row r="1518" spans="10:12">
      <c r="J1518" s="39" t="s">
        <v>18</v>
      </c>
      <c r="K1518" s="40">
        <v>46132</v>
      </c>
      <c r="L1518" s="39">
        <v>2</v>
      </c>
    </row>
    <row r="1519" spans="10:12">
      <c r="J1519" s="25" t="s">
        <v>70</v>
      </c>
      <c r="K1519" s="32">
        <v>46132</v>
      </c>
      <c r="L1519" s="25">
        <v>25</v>
      </c>
    </row>
    <row r="1520" spans="10:12">
      <c r="J1520" s="39" t="s">
        <v>96</v>
      </c>
      <c r="K1520" s="40">
        <v>46132</v>
      </c>
      <c r="L1520" s="39">
        <v>12</v>
      </c>
    </row>
    <row r="1521" spans="10:12">
      <c r="J1521" s="25" t="s">
        <v>76</v>
      </c>
      <c r="K1521" s="32">
        <v>46133</v>
      </c>
      <c r="L1521" s="25">
        <v>11</v>
      </c>
    </row>
    <row r="1522" spans="10:12">
      <c r="J1522" s="39" t="s">
        <v>80</v>
      </c>
      <c r="K1522" s="40">
        <v>46133</v>
      </c>
      <c r="L1522" s="39">
        <v>4</v>
      </c>
    </row>
    <row r="1523" spans="10:12">
      <c r="J1523" s="25" t="s">
        <v>90</v>
      </c>
      <c r="K1523" s="32">
        <v>46133</v>
      </c>
      <c r="L1523" s="25">
        <v>3</v>
      </c>
    </row>
    <row r="1524" spans="10:12">
      <c r="J1524" s="39" t="s">
        <v>72</v>
      </c>
      <c r="K1524" s="40">
        <v>46133</v>
      </c>
      <c r="L1524" s="39">
        <v>10</v>
      </c>
    </row>
    <row r="1525" spans="10:12">
      <c r="J1525" s="25" t="s">
        <v>78</v>
      </c>
      <c r="K1525" s="32">
        <v>46133</v>
      </c>
      <c r="L1525" s="25">
        <v>9</v>
      </c>
    </row>
    <row r="1526" spans="10:12">
      <c r="J1526" s="39" t="s">
        <v>96</v>
      </c>
      <c r="K1526" s="40">
        <v>46133</v>
      </c>
      <c r="L1526" s="39">
        <v>18</v>
      </c>
    </row>
    <row r="1527" spans="10:12">
      <c r="J1527" s="25" t="s">
        <v>58</v>
      </c>
      <c r="K1527" s="32">
        <v>46133</v>
      </c>
      <c r="L1527" s="25">
        <v>20</v>
      </c>
    </row>
    <row r="1528" spans="10:12">
      <c r="J1528" s="39" t="s">
        <v>90</v>
      </c>
      <c r="K1528" s="40">
        <v>46133</v>
      </c>
      <c r="L1528" s="39">
        <v>3</v>
      </c>
    </row>
    <row r="1529" spans="10:12">
      <c r="J1529" s="25" t="s">
        <v>84</v>
      </c>
      <c r="K1529" s="32">
        <v>46133</v>
      </c>
      <c r="L1529" s="25">
        <v>27</v>
      </c>
    </row>
    <row r="1530" spans="10:12">
      <c r="J1530" s="39" t="s">
        <v>61</v>
      </c>
      <c r="K1530" s="40">
        <v>46133</v>
      </c>
      <c r="L1530" s="39">
        <v>2</v>
      </c>
    </row>
    <row r="1531" spans="10:12">
      <c r="J1531" s="25" t="s">
        <v>80</v>
      </c>
      <c r="K1531" s="32">
        <v>46133</v>
      </c>
      <c r="L1531" s="25">
        <v>14</v>
      </c>
    </row>
    <row r="1532" spans="10:12">
      <c r="J1532" s="39" t="s">
        <v>51</v>
      </c>
      <c r="K1532" s="40">
        <v>46134</v>
      </c>
      <c r="L1532" s="39">
        <v>5</v>
      </c>
    </row>
    <row r="1533" spans="10:12">
      <c r="J1533" s="25" t="s">
        <v>98</v>
      </c>
      <c r="K1533" s="32">
        <v>46134</v>
      </c>
      <c r="L1533" s="25">
        <v>2</v>
      </c>
    </row>
    <row r="1534" spans="10:12">
      <c r="J1534" s="39" t="s">
        <v>84</v>
      </c>
      <c r="K1534" s="40">
        <v>46134</v>
      </c>
      <c r="L1534" s="39">
        <v>1</v>
      </c>
    </row>
    <row r="1535" spans="10:12">
      <c r="J1535" s="25" t="s">
        <v>86</v>
      </c>
      <c r="K1535" s="32">
        <v>46134</v>
      </c>
      <c r="L1535" s="25">
        <v>2</v>
      </c>
    </row>
    <row r="1536" spans="10:12">
      <c r="J1536" s="39" t="s">
        <v>72</v>
      </c>
      <c r="K1536" s="40">
        <v>46134</v>
      </c>
      <c r="L1536" s="39">
        <v>16</v>
      </c>
    </row>
    <row r="1537" spans="10:12">
      <c r="J1537" s="25" t="s">
        <v>40</v>
      </c>
      <c r="K1537" s="32">
        <v>46134</v>
      </c>
      <c r="L1537" s="25">
        <v>1</v>
      </c>
    </row>
    <row r="1538" spans="10:12">
      <c r="J1538" s="39" t="s">
        <v>38</v>
      </c>
      <c r="K1538" s="40">
        <v>46134</v>
      </c>
      <c r="L1538" s="39">
        <v>13</v>
      </c>
    </row>
    <row r="1539" spans="10:12">
      <c r="J1539" s="25" t="s">
        <v>82</v>
      </c>
      <c r="K1539" s="32">
        <v>46134</v>
      </c>
      <c r="L1539" s="25">
        <v>12</v>
      </c>
    </row>
    <row r="1540" spans="10:12">
      <c r="J1540" s="39" t="s">
        <v>78</v>
      </c>
      <c r="K1540" s="40">
        <v>46134</v>
      </c>
      <c r="L1540" s="39">
        <v>2</v>
      </c>
    </row>
    <row r="1541" spans="10:12">
      <c r="J1541" s="25" t="s">
        <v>63</v>
      </c>
      <c r="K1541" s="32">
        <v>46134</v>
      </c>
      <c r="L1541" s="25">
        <v>13</v>
      </c>
    </row>
    <row r="1542" spans="10:12">
      <c r="J1542" s="39" t="s">
        <v>96</v>
      </c>
      <c r="K1542" s="40">
        <v>46134</v>
      </c>
      <c r="L1542" s="39">
        <v>7</v>
      </c>
    </row>
    <row r="1543" spans="10:12">
      <c r="J1543" s="25" t="s">
        <v>80</v>
      </c>
      <c r="K1543" s="32">
        <v>46134</v>
      </c>
      <c r="L1543" s="25">
        <v>4</v>
      </c>
    </row>
    <row r="1544" spans="10:12">
      <c r="J1544" s="39" t="s">
        <v>84</v>
      </c>
      <c r="K1544" s="40">
        <v>46134</v>
      </c>
      <c r="L1544" s="39">
        <v>25</v>
      </c>
    </row>
    <row r="1545" spans="10:12">
      <c r="J1545" s="25" t="s">
        <v>55</v>
      </c>
      <c r="K1545" s="32">
        <v>46134</v>
      </c>
      <c r="L1545" s="25">
        <v>4</v>
      </c>
    </row>
    <row r="1546" spans="10:12">
      <c r="J1546" s="39" t="s">
        <v>53</v>
      </c>
      <c r="K1546" s="40">
        <v>46134</v>
      </c>
      <c r="L1546" s="39">
        <v>15</v>
      </c>
    </row>
    <row r="1547" spans="10:12">
      <c r="J1547" s="25" t="s">
        <v>38</v>
      </c>
      <c r="K1547" s="32">
        <v>46134</v>
      </c>
      <c r="L1547" s="25">
        <v>12</v>
      </c>
    </row>
    <row r="1548" spans="10:12">
      <c r="J1548" s="39" t="s">
        <v>40</v>
      </c>
      <c r="K1548" s="40">
        <v>46134</v>
      </c>
      <c r="L1548" s="39">
        <v>8</v>
      </c>
    </row>
    <row r="1549" spans="10:12">
      <c r="J1549" s="25" t="s">
        <v>43</v>
      </c>
      <c r="K1549" s="32">
        <v>46134</v>
      </c>
      <c r="L1549" s="25">
        <v>25</v>
      </c>
    </row>
    <row r="1550" spans="10:12">
      <c r="J1550" s="39" t="s">
        <v>90</v>
      </c>
      <c r="K1550" s="40">
        <v>46134</v>
      </c>
      <c r="L1550" s="39">
        <v>8</v>
      </c>
    </row>
    <row r="1551" spans="10:12">
      <c r="J1551" s="25" t="s">
        <v>92</v>
      </c>
      <c r="K1551" s="32">
        <v>46134</v>
      </c>
      <c r="L1551" s="25">
        <v>16</v>
      </c>
    </row>
    <row r="1552" spans="10:12">
      <c r="J1552" s="39" t="s">
        <v>58</v>
      </c>
      <c r="K1552" s="40">
        <v>46134</v>
      </c>
      <c r="L1552" s="39">
        <v>5</v>
      </c>
    </row>
    <row r="1553" spans="10:12">
      <c r="J1553" s="25" t="s">
        <v>51</v>
      </c>
      <c r="K1553" s="32">
        <v>46135</v>
      </c>
      <c r="L1553" s="25">
        <v>7</v>
      </c>
    </row>
    <row r="1554" spans="10:12">
      <c r="J1554" s="39" t="s">
        <v>76</v>
      </c>
      <c r="K1554" s="40">
        <v>46135</v>
      </c>
      <c r="L1554" s="39">
        <v>16</v>
      </c>
    </row>
    <row r="1555" spans="10:12">
      <c r="J1555" s="25" t="s">
        <v>35</v>
      </c>
      <c r="K1555" s="32">
        <v>46135</v>
      </c>
      <c r="L1555" s="25">
        <v>24</v>
      </c>
    </row>
    <row r="1556" spans="10:12">
      <c r="J1556" s="39" t="s">
        <v>40</v>
      </c>
      <c r="K1556" s="40">
        <v>46135</v>
      </c>
      <c r="L1556" s="39">
        <v>7</v>
      </c>
    </row>
    <row r="1557" spans="10:12">
      <c r="J1557" s="25" t="s">
        <v>46</v>
      </c>
      <c r="K1557" s="32">
        <v>46135</v>
      </c>
      <c r="L1557" s="25">
        <v>18</v>
      </c>
    </row>
    <row r="1558" spans="10:12">
      <c r="J1558" s="39" t="s">
        <v>23</v>
      </c>
      <c r="K1558" s="40">
        <v>46135</v>
      </c>
      <c r="L1558" s="39">
        <v>15</v>
      </c>
    </row>
    <row r="1559" spans="10:12">
      <c r="J1559" s="25" t="s">
        <v>38</v>
      </c>
      <c r="K1559" s="32">
        <v>46135</v>
      </c>
      <c r="L1559" s="25">
        <v>5</v>
      </c>
    </row>
    <row r="1560" spans="10:12">
      <c r="J1560" s="39" t="s">
        <v>51</v>
      </c>
      <c r="K1560" s="40">
        <v>46135</v>
      </c>
      <c r="L1560" s="39">
        <v>5</v>
      </c>
    </row>
    <row r="1561" spans="10:12">
      <c r="J1561" s="25" t="s">
        <v>40</v>
      </c>
      <c r="K1561" s="32">
        <v>46135</v>
      </c>
      <c r="L1561" s="25">
        <v>12</v>
      </c>
    </row>
    <row r="1562" spans="10:12">
      <c r="J1562" s="39" t="s">
        <v>58</v>
      </c>
      <c r="K1562" s="40">
        <v>46135</v>
      </c>
      <c r="L1562" s="39">
        <v>19</v>
      </c>
    </row>
    <row r="1563" spans="10:12">
      <c r="J1563" s="25" t="s">
        <v>96</v>
      </c>
      <c r="K1563" s="32">
        <v>46135</v>
      </c>
      <c r="L1563" s="25">
        <v>6</v>
      </c>
    </row>
    <row r="1564" spans="10:12">
      <c r="J1564" s="39" t="s">
        <v>98</v>
      </c>
      <c r="K1564" s="40">
        <v>46135</v>
      </c>
      <c r="L1564" s="39">
        <v>6</v>
      </c>
    </row>
    <row r="1565" spans="10:12">
      <c r="J1565" s="25" t="s">
        <v>51</v>
      </c>
      <c r="K1565" s="32">
        <v>46135</v>
      </c>
      <c r="L1565" s="25">
        <v>3</v>
      </c>
    </row>
    <row r="1566" spans="10:12">
      <c r="J1566" s="39" t="s">
        <v>100</v>
      </c>
      <c r="K1566" s="40">
        <v>46135</v>
      </c>
      <c r="L1566" s="39">
        <v>12</v>
      </c>
    </row>
    <row r="1567" spans="10:12">
      <c r="J1567" s="25" t="s">
        <v>96</v>
      </c>
      <c r="K1567" s="32">
        <v>46135</v>
      </c>
      <c r="L1567" s="25">
        <v>13</v>
      </c>
    </row>
    <row r="1568" spans="10:12">
      <c r="J1568" s="39" t="s">
        <v>98</v>
      </c>
      <c r="K1568" s="40">
        <v>46135</v>
      </c>
      <c r="L1568" s="39">
        <v>15</v>
      </c>
    </row>
    <row r="1569" spans="10:12">
      <c r="J1569" s="25" t="s">
        <v>55</v>
      </c>
      <c r="K1569" s="32">
        <v>46136</v>
      </c>
      <c r="L1569" s="25">
        <v>2</v>
      </c>
    </row>
    <row r="1570" spans="10:12">
      <c r="J1570" s="39" t="s">
        <v>72</v>
      </c>
      <c r="K1570" s="40">
        <v>46136</v>
      </c>
      <c r="L1570" s="39">
        <v>4</v>
      </c>
    </row>
    <row r="1571" spans="10:12">
      <c r="J1571" s="25" t="s">
        <v>28</v>
      </c>
      <c r="K1571" s="32">
        <v>46136</v>
      </c>
      <c r="L1571" s="25">
        <v>17</v>
      </c>
    </row>
    <row r="1572" spans="10:12">
      <c r="J1572" s="39" t="s">
        <v>35</v>
      </c>
      <c r="K1572" s="40">
        <v>46136</v>
      </c>
      <c r="L1572" s="39">
        <v>21</v>
      </c>
    </row>
    <row r="1573" spans="10:12">
      <c r="J1573" s="25" t="s">
        <v>46</v>
      </c>
      <c r="K1573" s="32">
        <v>46136</v>
      </c>
      <c r="L1573" s="25">
        <v>6</v>
      </c>
    </row>
    <row r="1574" spans="10:12">
      <c r="J1574" s="39" t="s">
        <v>84</v>
      </c>
      <c r="K1574" s="40">
        <v>46136</v>
      </c>
      <c r="L1574" s="39">
        <v>1</v>
      </c>
    </row>
    <row r="1575" spans="10:12">
      <c r="J1575" s="25" t="s">
        <v>43</v>
      </c>
      <c r="K1575" s="32">
        <v>46136</v>
      </c>
      <c r="L1575" s="25">
        <v>1</v>
      </c>
    </row>
    <row r="1576" spans="10:12">
      <c r="J1576" s="39" t="s">
        <v>11</v>
      </c>
      <c r="K1576" s="40">
        <v>46136</v>
      </c>
      <c r="L1576" s="39">
        <v>2</v>
      </c>
    </row>
    <row r="1577" spans="10:12">
      <c r="J1577" s="25" t="s">
        <v>96</v>
      </c>
      <c r="K1577" s="32">
        <v>46136</v>
      </c>
      <c r="L1577" s="25">
        <v>24</v>
      </c>
    </row>
    <row r="1578" spans="10:12">
      <c r="J1578" s="39" t="s">
        <v>23</v>
      </c>
      <c r="K1578" s="40">
        <v>46136</v>
      </c>
      <c r="L1578" s="39">
        <v>22</v>
      </c>
    </row>
    <row r="1579" spans="10:12">
      <c r="J1579" s="25" t="s">
        <v>23</v>
      </c>
      <c r="K1579" s="32">
        <v>46136</v>
      </c>
      <c r="L1579" s="25">
        <v>2</v>
      </c>
    </row>
    <row r="1580" spans="10:12">
      <c r="J1580" s="39" t="s">
        <v>67</v>
      </c>
      <c r="K1580" s="40">
        <v>46136</v>
      </c>
      <c r="L1580" s="39">
        <v>2</v>
      </c>
    </row>
    <row r="1581" spans="10:12">
      <c r="J1581" s="25" t="s">
        <v>76</v>
      </c>
      <c r="K1581" s="32">
        <v>46137</v>
      </c>
      <c r="L1581" s="25">
        <v>2</v>
      </c>
    </row>
    <row r="1582" spans="10:12">
      <c r="J1582" s="39" t="s">
        <v>90</v>
      </c>
      <c r="K1582" s="40">
        <v>46137</v>
      </c>
      <c r="L1582" s="39">
        <v>18</v>
      </c>
    </row>
    <row r="1583" spans="10:12">
      <c r="J1583" s="25" t="s">
        <v>67</v>
      </c>
      <c r="K1583" s="32">
        <v>46137</v>
      </c>
      <c r="L1583" s="25">
        <v>3</v>
      </c>
    </row>
    <row r="1584" spans="10:12">
      <c r="J1584" s="39" t="s">
        <v>72</v>
      </c>
      <c r="K1584" s="40">
        <v>46137</v>
      </c>
      <c r="L1584" s="39">
        <v>4</v>
      </c>
    </row>
    <row r="1585" spans="10:12">
      <c r="J1585" s="25" t="s">
        <v>46</v>
      </c>
      <c r="K1585" s="32">
        <v>46137</v>
      </c>
      <c r="L1585" s="25">
        <v>7</v>
      </c>
    </row>
    <row r="1586" spans="10:12">
      <c r="J1586" s="39" t="s">
        <v>51</v>
      </c>
      <c r="K1586" s="40">
        <v>46137</v>
      </c>
      <c r="L1586" s="39">
        <v>1</v>
      </c>
    </row>
    <row r="1587" spans="10:12">
      <c r="J1587" s="25" t="s">
        <v>80</v>
      </c>
      <c r="K1587" s="32">
        <v>46137</v>
      </c>
      <c r="L1587" s="25">
        <v>3</v>
      </c>
    </row>
    <row r="1588" spans="10:12">
      <c r="J1588" s="39" t="s">
        <v>100</v>
      </c>
      <c r="K1588" s="40">
        <v>46137</v>
      </c>
      <c r="L1588" s="39">
        <v>2</v>
      </c>
    </row>
    <row r="1589" spans="10:12">
      <c r="J1589" s="25" t="s">
        <v>86</v>
      </c>
      <c r="K1589" s="32">
        <v>46137</v>
      </c>
      <c r="L1589" s="25">
        <v>3</v>
      </c>
    </row>
    <row r="1590" spans="10:12">
      <c r="J1590" s="39" t="s">
        <v>53</v>
      </c>
      <c r="K1590" s="40">
        <v>46137</v>
      </c>
      <c r="L1590" s="39">
        <v>8</v>
      </c>
    </row>
    <row r="1591" spans="10:12">
      <c r="J1591" s="25" t="s">
        <v>55</v>
      </c>
      <c r="K1591" s="32">
        <v>46137</v>
      </c>
      <c r="L1591" s="25">
        <v>8</v>
      </c>
    </row>
    <row r="1592" spans="10:12">
      <c r="J1592" s="39" t="s">
        <v>53</v>
      </c>
      <c r="K1592" s="40">
        <v>46138</v>
      </c>
      <c r="L1592" s="39">
        <v>7</v>
      </c>
    </row>
    <row r="1593" spans="10:12">
      <c r="J1593" s="25" t="s">
        <v>96</v>
      </c>
      <c r="K1593" s="32">
        <v>46138</v>
      </c>
      <c r="L1593" s="25">
        <v>4</v>
      </c>
    </row>
    <row r="1594" spans="10:12">
      <c r="J1594" s="39" t="s">
        <v>35</v>
      </c>
      <c r="K1594" s="40">
        <v>46138</v>
      </c>
      <c r="L1594" s="39">
        <v>4</v>
      </c>
    </row>
    <row r="1595" spans="10:12">
      <c r="J1595" s="25" t="s">
        <v>100</v>
      </c>
      <c r="K1595" s="32">
        <v>46138</v>
      </c>
      <c r="L1595" s="25">
        <v>15</v>
      </c>
    </row>
    <row r="1596" spans="10:12">
      <c r="J1596" s="39" t="s">
        <v>72</v>
      </c>
      <c r="K1596" s="40">
        <v>46138</v>
      </c>
      <c r="L1596" s="39">
        <v>5</v>
      </c>
    </row>
    <row r="1597" spans="10:12">
      <c r="J1597" s="25" t="s">
        <v>49</v>
      </c>
      <c r="K1597" s="32">
        <v>46138</v>
      </c>
      <c r="L1597" s="25">
        <v>11</v>
      </c>
    </row>
    <row r="1598" spans="10:12">
      <c r="J1598" s="39" t="s">
        <v>74</v>
      </c>
      <c r="K1598" s="40">
        <v>46138</v>
      </c>
      <c r="L1598" s="39">
        <v>8</v>
      </c>
    </row>
    <row r="1599" spans="10:12">
      <c r="J1599" s="25" t="s">
        <v>92</v>
      </c>
      <c r="K1599" s="32">
        <v>46138</v>
      </c>
      <c r="L1599" s="25">
        <v>8</v>
      </c>
    </row>
    <row r="1600" spans="10:12">
      <c r="J1600" s="39" t="s">
        <v>38</v>
      </c>
      <c r="K1600" s="40">
        <v>46138</v>
      </c>
      <c r="L1600" s="39">
        <v>2</v>
      </c>
    </row>
    <row r="1601" spans="10:12">
      <c r="J1601" s="25" t="s">
        <v>61</v>
      </c>
      <c r="K1601" s="32">
        <v>46138</v>
      </c>
      <c r="L1601" s="25">
        <v>6</v>
      </c>
    </row>
    <row r="1602" spans="10:12">
      <c r="J1602" s="39" t="s">
        <v>82</v>
      </c>
      <c r="K1602" s="40">
        <v>46138</v>
      </c>
      <c r="L1602" s="39">
        <v>24</v>
      </c>
    </row>
    <row r="1603" spans="10:12">
      <c r="J1603" s="25" t="s">
        <v>43</v>
      </c>
      <c r="K1603" s="32">
        <v>46139</v>
      </c>
      <c r="L1603" s="25">
        <v>8</v>
      </c>
    </row>
    <row r="1604" spans="10:12">
      <c r="J1604" s="39" t="s">
        <v>94</v>
      </c>
      <c r="K1604" s="40">
        <v>46139</v>
      </c>
      <c r="L1604" s="39">
        <v>4</v>
      </c>
    </row>
    <row r="1605" spans="10:12">
      <c r="J1605" s="25" t="s">
        <v>82</v>
      </c>
      <c r="K1605" s="32">
        <v>46139</v>
      </c>
      <c r="L1605" s="25">
        <v>14</v>
      </c>
    </row>
    <row r="1606" spans="10:12">
      <c r="J1606" s="39" t="s">
        <v>76</v>
      </c>
      <c r="K1606" s="40">
        <v>46139</v>
      </c>
      <c r="L1606" s="39">
        <v>15</v>
      </c>
    </row>
    <row r="1607" spans="10:12">
      <c r="J1607" s="25" t="s">
        <v>84</v>
      </c>
      <c r="K1607" s="32">
        <v>46139</v>
      </c>
      <c r="L1607" s="25">
        <v>18</v>
      </c>
    </row>
    <row r="1608" spans="10:12">
      <c r="J1608" s="39" t="s">
        <v>65</v>
      </c>
      <c r="K1608" s="40">
        <v>46139</v>
      </c>
      <c r="L1608" s="39">
        <v>10</v>
      </c>
    </row>
    <row r="1609" spans="10:12">
      <c r="J1609" s="25" t="s">
        <v>49</v>
      </c>
      <c r="K1609" s="32">
        <v>46139</v>
      </c>
      <c r="L1609" s="25">
        <v>5</v>
      </c>
    </row>
    <row r="1610" spans="10:12">
      <c r="J1610" s="39" t="s">
        <v>53</v>
      </c>
      <c r="K1610" s="40">
        <v>46139</v>
      </c>
      <c r="L1610" s="39">
        <v>16</v>
      </c>
    </row>
    <row r="1611" spans="10:12">
      <c r="J1611" s="25" t="s">
        <v>100</v>
      </c>
      <c r="K1611" s="32">
        <v>46139</v>
      </c>
      <c r="L1611" s="25">
        <v>4</v>
      </c>
    </row>
    <row r="1612" spans="10:12">
      <c r="J1612" s="39" t="s">
        <v>53</v>
      </c>
      <c r="K1612" s="40">
        <v>46139</v>
      </c>
      <c r="L1612" s="39">
        <v>2</v>
      </c>
    </row>
    <row r="1613" spans="10:12">
      <c r="J1613" s="25" t="s">
        <v>11</v>
      </c>
      <c r="K1613" s="32">
        <v>46139</v>
      </c>
      <c r="L1613" s="25">
        <v>10</v>
      </c>
    </row>
    <row r="1614" spans="10:12">
      <c r="J1614" s="39" t="s">
        <v>43</v>
      </c>
      <c r="K1614" s="40">
        <v>46139</v>
      </c>
      <c r="L1614" s="39">
        <v>2</v>
      </c>
    </row>
    <row r="1615" spans="10:12">
      <c r="J1615" s="25" t="s">
        <v>70</v>
      </c>
      <c r="K1615" s="32">
        <v>46139</v>
      </c>
      <c r="L1615" s="25">
        <v>2</v>
      </c>
    </row>
    <row r="1616" spans="10:12">
      <c r="J1616" s="39" t="s">
        <v>40</v>
      </c>
      <c r="K1616" s="40">
        <v>46139</v>
      </c>
      <c r="L1616" s="39">
        <v>26</v>
      </c>
    </row>
    <row r="1617" spans="10:12">
      <c r="J1617" s="25" t="s">
        <v>31</v>
      </c>
      <c r="K1617" s="32">
        <v>46139</v>
      </c>
      <c r="L1617" s="25">
        <v>4</v>
      </c>
    </row>
    <row r="1618" spans="10:12">
      <c r="J1618" s="39" t="s">
        <v>80</v>
      </c>
      <c r="K1618" s="40">
        <v>46139</v>
      </c>
      <c r="L1618" s="39">
        <v>2</v>
      </c>
    </row>
    <row r="1619" spans="10:12">
      <c r="J1619" s="25" t="s">
        <v>55</v>
      </c>
      <c r="K1619" s="32">
        <v>46139</v>
      </c>
      <c r="L1619" s="25">
        <v>11</v>
      </c>
    </row>
    <row r="1620" spans="10:12">
      <c r="J1620" s="39" t="s">
        <v>49</v>
      </c>
      <c r="K1620" s="40">
        <v>46139</v>
      </c>
      <c r="L1620" s="39">
        <v>27</v>
      </c>
    </row>
    <row r="1621" spans="10:12">
      <c r="J1621" s="25" t="s">
        <v>82</v>
      </c>
      <c r="K1621" s="32">
        <v>46139</v>
      </c>
      <c r="L1621" s="25">
        <v>2</v>
      </c>
    </row>
    <row r="1622" spans="10:12">
      <c r="J1622" s="39" t="s">
        <v>100</v>
      </c>
      <c r="K1622" s="40">
        <v>46139</v>
      </c>
      <c r="L1622" s="39">
        <v>3</v>
      </c>
    </row>
    <row r="1623" spans="10:12">
      <c r="J1623" s="25" t="s">
        <v>76</v>
      </c>
      <c r="K1623" s="32">
        <v>46140</v>
      </c>
      <c r="L1623" s="25">
        <v>3</v>
      </c>
    </row>
    <row r="1624" spans="10:12">
      <c r="J1624" s="39" t="s">
        <v>49</v>
      </c>
      <c r="K1624" s="40">
        <v>46140</v>
      </c>
      <c r="L1624" s="39">
        <v>22</v>
      </c>
    </row>
    <row r="1625" spans="10:12">
      <c r="J1625" s="25" t="s">
        <v>80</v>
      </c>
      <c r="K1625" s="32">
        <v>46140</v>
      </c>
      <c r="L1625" s="25">
        <v>17</v>
      </c>
    </row>
    <row r="1626" spans="10:12">
      <c r="J1626" s="39" t="s">
        <v>74</v>
      </c>
      <c r="K1626" s="40">
        <v>46140</v>
      </c>
      <c r="L1626" s="39">
        <v>4</v>
      </c>
    </row>
    <row r="1627" spans="10:12">
      <c r="J1627" s="25" t="s">
        <v>88</v>
      </c>
      <c r="K1627" s="32">
        <v>46140</v>
      </c>
      <c r="L1627" s="25">
        <v>3</v>
      </c>
    </row>
    <row r="1628" spans="10:12">
      <c r="J1628" s="39" t="s">
        <v>98</v>
      </c>
      <c r="K1628" s="40">
        <v>46140</v>
      </c>
      <c r="L1628" s="39">
        <v>26</v>
      </c>
    </row>
    <row r="1629" spans="10:12">
      <c r="J1629" s="25" t="s">
        <v>18</v>
      </c>
      <c r="K1629" s="32">
        <v>46140</v>
      </c>
      <c r="L1629" s="25">
        <v>1</v>
      </c>
    </row>
    <row r="1630" spans="10:12">
      <c r="J1630" s="39" t="s">
        <v>67</v>
      </c>
      <c r="K1630" s="40">
        <v>46140</v>
      </c>
      <c r="L1630" s="39">
        <v>15</v>
      </c>
    </row>
    <row r="1631" spans="10:12">
      <c r="J1631" s="25" t="s">
        <v>40</v>
      </c>
      <c r="K1631" s="32">
        <v>46140</v>
      </c>
      <c r="L1631" s="25">
        <v>1</v>
      </c>
    </row>
    <row r="1632" spans="10:12">
      <c r="J1632" s="39" t="s">
        <v>90</v>
      </c>
      <c r="K1632" s="40">
        <v>46140</v>
      </c>
      <c r="L1632" s="39">
        <v>4</v>
      </c>
    </row>
    <row r="1633" spans="10:12">
      <c r="J1633" s="25" t="s">
        <v>94</v>
      </c>
      <c r="K1633" s="32">
        <v>46140</v>
      </c>
      <c r="L1633" s="25">
        <v>9</v>
      </c>
    </row>
    <row r="1634" spans="10:12">
      <c r="J1634" s="39" t="s">
        <v>90</v>
      </c>
      <c r="K1634" s="40">
        <v>46140</v>
      </c>
      <c r="L1634" s="39">
        <v>2</v>
      </c>
    </row>
    <row r="1635" spans="10:12">
      <c r="J1635" s="25" t="s">
        <v>31</v>
      </c>
      <c r="K1635" s="32">
        <v>46141</v>
      </c>
      <c r="L1635" s="25">
        <v>19</v>
      </c>
    </row>
    <row r="1636" spans="10:12">
      <c r="J1636" s="39" t="s">
        <v>94</v>
      </c>
      <c r="K1636" s="40">
        <v>46141</v>
      </c>
      <c r="L1636" s="39">
        <v>9</v>
      </c>
    </row>
    <row r="1637" spans="10:12">
      <c r="J1637" s="25" t="s">
        <v>76</v>
      </c>
      <c r="K1637" s="32">
        <v>46141</v>
      </c>
      <c r="L1637" s="25">
        <v>2</v>
      </c>
    </row>
    <row r="1638" spans="10:12">
      <c r="J1638" s="39" t="s">
        <v>67</v>
      </c>
      <c r="K1638" s="40">
        <v>46141</v>
      </c>
      <c r="L1638" s="39">
        <v>1</v>
      </c>
    </row>
    <row r="1639" spans="10:12">
      <c r="J1639" s="25" t="s">
        <v>23</v>
      </c>
      <c r="K1639" s="32">
        <v>46141</v>
      </c>
      <c r="L1639" s="25">
        <v>5</v>
      </c>
    </row>
    <row r="1640" spans="10:12">
      <c r="J1640" s="39" t="s">
        <v>92</v>
      </c>
      <c r="K1640" s="40">
        <v>46141</v>
      </c>
      <c r="L1640" s="39">
        <v>8</v>
      </c>
    </row>
    <row r="1641" spans="10:12">
      <c r="J1641" s="25" t="s">
        <v>35</v>
      </c>
      <c r="K1641" s="32">
        <v>46141</v>
      </c>
      <c r="L1641" s="25">
        <v>2</v>
      </c>
    </row>
    <row r="1642" spans="10:12">
      <c r="J1642" s="39" t="s">
        <v>58</v>
      </c>
      <c r="K1642" s="40">
        <v>46141</v>
      </c>
      <c r="L1642" s="39">
        <v>6</v>
      </c>
    </row>
    <row r="1643" spans="10:12">
      <c r="J1643" s="25" t="s">
        <v>100</v>
      </c>
      <c r="K1643" s="32">
        <v>46141</v>
      </c>
      <c r="L1643" s="25">
        <v>5</v>
      </c>
    </row>
    <row r="1644" spans="10:12">
      <c r="J1644" s="39" t="s">
        <v>98</v>
      </c>
      <c r="K1644" s="40">
        <v>46141</v>
      </c>
      <c r="L1644" s="39">
        <v>19</v>
      </c>
    </row>
    <row r="1645" spans="10:12">
      <c r="J1645" s="25" t="s">
        <v>38</v>
      </c>
      <c r="K1645" s="32">
        <v>46141</v>
      </c>
      <c r="L1645" s="25">
        <v>23</v>
      </c>
    </row>
    <row r="1646" spans="10:12">
      <c r="J1646" s="39" t="s">
        <v>84</v>
      </c>
      <c r="K1646" s="40">
        <v>46141</v>
      </c>
      <c r="L1646" s="39">
        <v>4</v>
      </c>
    </row>
    <row r="1647" spans="10:12">
      <c r="J1647" s="25" t="s">
        <v>31</v>
      </c>
      <c r="K1647" s="32">
        <v>46141</v>
      </c>
      <c r="L1647" s="25">
        <v>5</v>
      </c>
    </row>
    <row r="1648" spans="10:12">
      <c r="J1648" s="39" t="s">
        <v>46</v>
      </c>
      <c r="K1648" s="40">
        <v>46141</v>
      </c>
      <c r="L1648" s="39">
        <v>4</v>
      </c>
    </row>
    <row r="1649" spans="10:12">
      <c r="J1649" s="25" t="s">
        <v>63</v>
      </c>
      <c r="K1649" s="32">
        <v>46141</v>
      </c>
      <c r="L1649" s="25">
        <v>2</v>
      </c>
    </row>
    <row r="1650" spans="10:12">
      <c r="J1650" s="39" t="s">
        <v>23</v>
      </c>
      <c r="K1650" s="40">
        <v>46141</v>
      </c>
      <c r="L1650" s="39">
        <v>8</v>
      </c>
    </row>
    <row r="1651" spans="10:12">
      <c r="J1651" s="25" t="s">
        <v>88</v>
      </c>
      <c r="K1651" s="32">
        <v>46141</v>
      </c>
      <c r="L1651" s="25">
        <v>6</v>
      </c>
    </row>
    <row r="1652" spans="10:12">
      <c r="J1652" s="39" t="s">
        <v>43</v>
      </c>
      <c r="K1652" s="40">
        <v>46141</v>
      </c>
      <c r="L1652" s="39">
        <v>11</v>
      </c>
    </row>
    <row r="1653" spans="10:12">
      <c r="J1653" s="25" t="s">
        <v>28</v>
      </c>
      <c r="K1653" s="32">
        <v>46141</v>
      </c>
      <c r="L1653" s="25">
        <v>5</v>
      </c>
    </row>
    <row r="1654" spans="10:12">
      <c r="J1654" s="39" t="s">
        <v>35</v>
      </c>
      <c r="K1654" s="40">
        <v>46141</v>
      </c>
      <c r="L1654" s="39">
        <v>7</v>
      </c>
    </row>
    <row r="1655" spans="10:12">
      <c r="J1655" s="25" t="s">
        <v>49</v>
      </c>
      <c r="K1655" s="32">
        <v>46141</v>
      </c>
      <c r="L1655" s="25">
        <v>14</v>
      </c>
    </row>
    <row r="1656" spans="10:12">
      <c r="J1656" s="39" t="s">
        <v>28</v>
      </c>
      <c r="K1656" s="40">
        <v>46141</v>
      </c>
      <c r="L1656" s="39">
        <v>11</v>
      </c>
    </row>
    <row r="1657" spans="10:12">
      <c r="J1657" s="25" t="s">
        <v>80</v>
      </c>
      <c r="K1657" s="32">
        <v>46141</v>
      </c>
      <c r="L1657" s="25">
        <v>4</v>
      </c>
    </row>
    <row r="1658" spans="10:12">
      <c r="J1658" s="39" t="s">
        <v>58</v>
      </c>
      <c r="K1658" s="40">
        <v>46141</v>
      </c>
      <c r="L1658" s="39">
        <v>1</v>
      </c>
    </row>
    <row r="1659" spans="10:12">
      <c r="J1659" s="25" t="s">
        <v>70</v>
      </c>
      <c r="K1659" s="32">
        <v>46141</v>
      </c>
      <c r="L1659" s="25">
        <v>4</v>
      </c>
    </row>
    <row r="1660" spans="10:12">
      <c r="J1660" s="39" t="s">
        <v>86</v>
      </c>
      <c r="K1660" s="40">
        <v>46141</v>
      </c>
      <c r="L1660" s="39">
        <v>24</v>
      </c>
    </row>
    <row r="1661" spans="10:12">
      <c r="J1661" s="25" t="s">
        <v>86</v>
      </c>
      <c r="K1661" s="32">
        <v>46142</v>
      </c>
      <c r="L1661" s="25">
        <v>10</v>
      </c>
    </row>
    <row r="1662" spans="10:12">
      <c r="J1662" s="39" t="s">
        <v>92</v>
      </c>
      <c r="K1662" s="40">
        <v>46142</v>
      </c>
      <c r="L1662" s="39">
        <v>6</v>
      </c>
    </row>
    <row r="1663" spans="10:12">
      <c r="J1663" s="25" t="s">
        <v>51</v>
      </c>
      <c r="K1663" s="32">
        <v>46142</v>
      </c>
      <c r="L1663" s="25">
        <v>4</v>
      </c>
    </row>
    <row r="1664" spans="10:12">
      <c r="J1664" s="39" t="s">
        <v>80</v>
      </c>
      <c r="K1664" s="40">
        <v>46142</v>
      </c>
      <c r="L1664" s="39">
        <v>1</v>
      </c>
    </row>
    <row r="1665" spans="10:12">
      <c r="J1665" s="25" t="s">
        <v>96</v>
      </c>
      <c r="K1665" s="32">
        <v>46142</v>
      </c>
      <c r="L1665" s="25">
        <v>1</v>
      </c>
    </row>
    <row r="1666" spans="10:12">
      <c r="J1666" s="39" t="s">
        <v>46</v>
      </c>
      <c r="K1666" s="40">
        <v>46142</v>
      </c>
      <c r="L1666" s="39">
        <v>2</v>
      </c>
    </row>
    <row r="1667" spans="10:12">
      <c r="J1667" s="25" t="s">
        <v>18</v>
      </c>
      <c r="K1667" s="32">
        <v>46142</v>
      </c>
      <c r="L1667" s="25">
        <v>5</v>
      </c>
    </row>
    <row r="1668" spans="10:12">
      <c r="J1668" s="39" t="s">
        <v>49</v>
      </c>
      <c r="K1668" s="40">
        <v>46142</v>
      </c>
      <c r="L1668" s="39">
        <v>22</v>
      </c>
    </row>
    <row r="1669" spans="10:12">
      <c r="J1669" s="25" t="s">
        <v>43</v>
      </c>
      <c r="K1669" s="32">
        <v>46142</v>
      </c>
      <c r="L1669" s="25">
        <v>12</v>
      </c>
    </row>
    <row r="1670" spans="10:12">
      <c r="J1670" s="39" t="s">
        <v>40</v>
      </c>
      <c r="K1670" s="40">
        <v>46142</v>
      </c>
      <c r="L1670" s="39">
        <v>19</v>
      </c>
    </row>
    <row r="1671" spans="10:12">
      <c r="J1671" s="25" t="s">
        <v>63</v>
      </c>
      <c r="K1671" s="32">
        <v>46142</v>
      </c>
      <c r="L1671" s="25">
        <v>4</v>
      </c>
    </row>
    <row r="1672" spans="10:12">
      <c r="J1672" s="39" t="s">
        <v>94</v>
      </c>
      <c r="K1672" s="40">
        <v>46142</v>
      </c>
      <c r="L1672" s="39">
        <v>13</v>
      </c>
    </row>
    <row r="1673" spans="10:12">
      <c r="J1673" s="25" t="s">
        <v>72</v>
      </c>
      <c r="K1673" s="32">
        <v>46143</v>
      </c>
      <c r="L1673" s="25">
        <v>3</v>
      </c>
    </row>
    <row r="1674" spans="10:12">
      <c r="J1674" s="39" t="s">
        <v>90</v>
      </c>
      <c r="K1674" s="40">
        <v>46143</v>
      </c>
      <c r="L1674" s="39">
        <v>7</v>
      </c>
    </row>
    <row r="1675" spans="10:12">
      <c r="J1675" s="25" t="s">
        <v>38</v>
      </c>
      <c r="K1675" s="32">
        <v>46143</v>
      </c>
      <c r="L1675" s="25">
        <v>1</v>
      </c>
    </row>
    <row r="1676" spans="10:12">
      <c r="J1676" s="39" t="s">
        <v>28</v>
      </c>
      <c r="K1676" s="40">
        <v>46143</v>
      </c>
      <c r="L1676" s="39">
        <v>13</v>
      </c>
    </row>
    <row r="1677" spans="10:12">
      <c r="J1677" s="25" t="s">
        <v>61</v>
      </c>
      <c r="K1677" s="32">
        <v>46143</v>
      </c>
      <c r="L1677" s="25">
        <v>4</v>
      </c>
    </row>
    <row r="1678" spans="10:12">
      <c r="J1678" s="39" t="s">
        <v>58</v>
      </c>
      <c r="K1678" s="40">
        <v>46143</v>
      </c>
      <c r="L1678" s="39">
        <v>7</v>
      </c>
    </row>
    <row r="1679" spans="10:12">
      <c r="J1679" s="25" t="s">
        <v>67</v>
      </c>
      <c r="K1679" s="32">
        <v>46143</v>
      </c>
      <c r="L1679" s="25">
        <v>7</v>
      </c>
    </row>
    <row r="1680" spans="10:12">
      <c r="J1680" s="39" t="s">
        <v>43</v>
      </c>
      <c r="K1680" s="40">
        <v>46143</v>
      </c>
      <c r="L1680" s="39">
        <v>8</v>
      </c>
    </row>
    <row r="1681" spans="10:12">
      <c r="J1681" s="25" t="s">
        <v>76</v>
      </c>
      <c r="K1681" s="32">
        <v>46143</v>
      </c>
      <c r="L1681" s="25">
        <v>7</v>
      </c>
    </row>
    <row r="1682" spans="10:12">
      <c r="J1682" s="39" t="s">
        <v>86</v>
      </c>
      <c r="K1682" s="40">
        <v>46143</v>
      </c>
      <c r="L1682" s="39">
        <v>13</v>
      </c>
    </row>
    <row r="1683" spans="10:12">
      <c r="J1683" s="25" t="s">
        <v>84</v>
      </c>
      <c r="K1683" s="32">
        <v>46143</v>
      </c>
      <c r="L1683" s="25">
        <v>11</v>
      </c>
    </row>
    <row r="1684" spans="10:12">
      <c r="J1684" s="39" t="s">
        <v>31</v>
      </c>
      <c r="K1684" s="40">
        <v>46143</v>
      </c>
      <c r="L1684" s="39">
        <v>15</v>
      </c>
    </row>
    <row r="1685" spans="10:12">
      <c r="J1685" s="25" t="s">
        <v>49</v>
      </c>
      <c r="K1685" s="32">
        <v>46143</v>
      </c>
      <c r="L1685" s="25">
        <v>1</v>
      </c>
    </row>
    <row r="1686" spans="10:12">
      <c r="J1686" s="39" t="s">
        <v>98</v>
      </c>
      <c r="K1686" s="40">
        <v>46143</v>
      </c>
      <c r="L1686" s="39">
        <v>6</v>
      </c>
    </row>
    <row r="1687" spans="10:12">
      <c r="J1687" s="25" t="s">
        <v>88</v>
      </c>
      <c r="K1687" s="32">
        <v>46143</v>
      </c>
      <c r="L1687" s="25">
        <v>9</v>
      </c>
    </row>
    <row r="1688" spans="10:12">
      <c r="J1688" s="39" t="s">
        <v>61</v>
      </c>
      <c r="K1688" s="40">
        <v>46143</v>
      </c>
      <c r="L1688" s="39">
        <v>1</v>
      </c>
    </row>
    <row r="1689" spans="10:12">
      <c r="J1689" s="25" t="s">
        <v>28</v>
      </c>
      <c r="K1689" s="32">
        <v>46143</v>
      </c>
      <c r="L1689" s="25">
        <v>32</v>
      </c>
    </row>
    <row r="1690" spans="10:12">
      <c r="J1690" s="39" t="s">
        <v>46</v>
      </c>
      <c r="K1690" s="40">
        <v>46143</v>
      </c>
      <c r="L1690" s="39">
        <v>19</v>
      </c>
    </row>
    <row r="1691" spans="10:12">
      <c r="J1691" s="25" t="s">
        <v>55</v>
      </c>
      <c r="K1691" s="32">
        <v>46144</v>
      </c>
      <c r="L1691" s="25">
        <v>5</v>
      </c>
    </row>
    <row r="1692" spans="10:12">
      <c r="J1692" s="39" t="s">
        <v>55</v>
      </c>
      <c r="K1692" s="40">
        <v>46144</v>
      </c>
      <c r="L1692" s="39">
        <v>2</v>
      </c>
    </row>
    <row r="1693" spans="10:12">
      <c r="J1693" s="25" t="s">
        <v>53</v>
      </c>
      <c r="K1693" s="32">
        <v>46144</v>
      </c>
      <c r="L1693" s="25">
        <v>10</v>
      </c>
    </row>
    <row r="1694" spans="10:12">
      <c r="J1694" s="39" t="s">
        <v>90</v>
      </c>
      <c r="K1694" s="40">
        <v>46144</v>
      </c>
      <c r="L1694" s="39">
        <v>15</v>
      </c>
    </row>
    <row r="1695" spans="10:12">
      <c r="J1695" s="25" t="s">
        <v>23</v>
      </c>
      <c r="K1695" s="32">
        <v>46144</v>
      </c>
      <c r="L1695" s="25">
        <v>10</v>
      </c>
    </row>
    <row r="1696" spans="10:12">
      <c r="J1696" s="39" t="s">
        <v>23</v>
      </c>
      <c r="K1696" s="40">
        <v>46144</v>
      </c>
      <c r="L1696" s="39">
        <v>7</v>
      </c>
    </row>
    <row r="1697" spans="10:12">
      <c r="J1697" s="25" t="s">
        <v>31</v>
      </c>
      <c r="K1697" s="32">
        <v>46144</v>
      </c>
      <c r="L1697" s="25">
        <v>2</v>
      </c>
    </row>
    <row r="1698" spans="10:12">
      <c r="J1698" s="39" t="s">
        <v>78</v>
      </c>
      <c r="K1698" s="40">
        <v>46144</v>
      </c>
      <c r="L1698" s="39">
        <v>10</v>
      </c>
    </row>
    <row r="1699" spans="10:12">
      <c r="J1699" s="25" t="s">
        <v>46</v>
      </c>
      <c r="K1699" s="32">
        <v>46144</v>
      </c>
      <c r="L1699" s="25">
        <v>2</v>
      </c>
    </row>
    <row r="1700" spans="10:12">
      <c r="J1700" s="39" t="s">
        <v>78</v>
      </c>
      <c r="K1700" s="40">
        <v>46144</v>
      </c>
      <c r="L1700" s="39">
        <v>9</v>
      </c>
    </row>
    <row r="1701" spans="10:12">
      <c r="J1701" s="25" t="s">
        <v>35</v>
      </c>
      <c r="K1701" s="32">
        <v>46144</v>
      </c>
      <c r="L1701" s="25">
        <v>11</v>
      </c>
    </row>
    <row r="1702" spans="10:12">
      <c r="J1702" s="39" t="s">
        <v>96</v>
      </c>
      <c r="K1702" s="40">
        <v>46144</v>
      </c>
      <c r="L1702" s="39">
        <v>10</v>
      </c>
    </row>
    <row r="1703" spans="10:12">
      <c r="J1703" s="25" t="s">
        <v>84</v>
      </c>
      <c r="K1703" s="32">
        <v>46144</v>
      </c>
      <c r="L1703" s="25">
        <v>13</v>
      </c>
    </row>
    <row r="1704" spans="10:12">
      <c r="J1704" s="39" t="s">
        <v>65</v>
      </c>
      <c r="K1704" s="40">
        <v>46144</v>
      </c>
      <c r="L1704" s="39">
        <v>8</v>
      </c>
    </row>
    <row r="1705" spans="10:12">
      <c r="J1705" s="25" t="s">
        <v>58</v>
      </c>
      <c r="K1705" s="32">
        <v>46144</v>
      </c>
      <c r="L1705" s="25">
        <v>16</v>
      </c>
    </row>
    <row r="1706" spans="10:12">
      <c r="J1706" s="39" t="s">
        <v>35</v>
      </c>
      <c r="K1706" s="40">
        <v>46144</v>
      </c>
      <c r="L1706" s="39">
        <v>5</v>
      </c>
    </row>
    <row r="1707" spans="10:12">
      <c r="J1707" s="25" t="s">
        <v>55</v>
      </c>
      <c r="K1707" s="32">
        <v>46144</v>
      </c>
      <c r="L1707" s="25">
        <v>13</v>
      </c>
    </row>
    <row r="1708" spans="10:12">
      <c r="J1708" s="39" t="s">
        <v>96</v>
      </c>
      <c r="K1708" s="40">
        <v>46144</v>
      </c>
      <c r="L1708" s="39">
        <v>4</v>
      </c>
    </row>
    <row r="1709" spans="10:12">
      <c r="J1709" s="25" t="s">
        <v>65</v>
      </c>
      <c r="K1709" s="32">
        <v>46145</v>
      </c>
      <c r="L1709" s="25">
        <v>3</v>
      </c>
    </row>
    <row r="1710" spans="10:12">
      <c r="J1710" s="39" t="s">
        <v>53</v>
      </c>
      <c r="K1710" s="40">
        <v>46145</v>
      </c>
      <c r="L1710" s="39">
        <v>14</v>
      </c>
    </row>
    <row r="1711" spans="10:12">
      <c r="J1711" s="25" t="s">
        <v>76</v>
      </c>
      <c r="K1711" s="32">
        <v>46145</v>
      </c>
      <c r="L1711" s="25">
        <v>3</v>
      </c>
    </row>
    <row r="1712" spans="10:12">
      <c r="J1712" s="39" t="s">
        <v>58</v>
      </c>
      <c r="K1712" s="40">
        <v>46145</v>
      </c>
      <c r="L1712" s="39">
        <v>27</v>
      </c>
    </row>
    <row r="1713" spans="10:12">
      <c r="J1713" s="25" t="s">
        <v>94</v>
      </c>
      <c r="K1713" s="32">
        <v>46145</v>
      </c>
      <c r="L1713" s="25">
        <v>2</v>
      </c>
    </row>
    <row r="1714" spans="10:12">
      <c r="J1714" s="39" t="s">
        <v>23</v>
      </c>
      <c r="K1714" s="40">
        <v>46145</v>
      </c>
      <c r="L1714" s="39">
        <v>2</v>
      </c>
    </row>
    <row r="1715" spans="10:12">
      <c r="J1715" s="25" t="s">
        <v>40</v>
      </c>
      <c r="K1715" s="32">
        <v>46145</v>
      </c>
      <c r="L1715" s="25">
        <v>1</v>
      </c>
    </row>
    <row r="1716" spans="10:12">
      <c r="J1716" s="39" t="s">
        <v>55</v>
      </c>
      <c r="K1716" s="40">
        <v>46145</v>
      </c>
      <c r="L1716" s="39">
        <v>7</v>
      </c>
    </row>
    <row r="1717" spans="10:12">
      <c r="J1717" s="25" t="s">
        <v>28</v>
      </c>
      <c r="K1717" s="32">
        <v>46145</v>
      </c>
      <c r="L1717" s="25">
        <v>7</v>
      </c>
    </row>
    <row r="1718" spans="10:12">
      <c r="J1718" s="39" t="s">
        <v>23</v>
      </c>
      <c r="K1718" s="40">
        <v>46145</v>
      </c>
      <c r="L1718" s="39">
        <v>5</v>
      </c>
    </row>
    <row r="1719" spans="10:12">
      <c r="J1719" s="25" t="s">
        <v>55</v>
      </c>
      <c r="K1719" s="32">
        <v>46145</v>
      </c>
      <c r="L1719" s="25">
        <v>9</v>
      </c>
    </row>
    <row r="1720" spans="10:12">
      <c r="J1720" s="39" t="s">
        <v>74</v>
      </c>
      <c r="K1720" s="40">
        <v>46145</v>
      </c>
      <c r="L1720" s="39">
        <v>16</v>
      </c>
    </row>
    <row r="1721" spans="10:12">
      <c r="J1721" s="25" t="s">
        <v>86</v>
      </c>
      <c r="K1721" s="32">
        <v>46145</v>
      </c>
      <c r="L1721" s="25">
        <v>1</v>
      </c>
    </row>
    <row r="1722" spans="10:12">
      <c r="J1722" s="39" t="s">
        <v>40</v>
      </c>
      <c r="K1722" s="40">
        <v>46146</v>
      </c>
      <c r="L1722" s="39">
        <v>2</v>
      </c>
    </row>
    <row r="1723" spans="10:12">
      <c r="J1723" s="25" t="s">
        <v>92</v>
      </c>
      <c r="K1723" s="32">
        <v>46146</v>
      </c>
      <c r="L1723" s="25">
        <v>8</v>
      </c>
    </row>
    <row r="1724" spans="10:12">
      <c r="J1724" s="39" t="s">
        <v>90</v>
      </c>
      <c r="K1724" s="40">
        <v>46146</v>
      </c>
      <c r="L1724" s="39">
        <v>11</v>
      </c>
    </row>
    <row r="1725" spans="10:12">
      <c r="J1725" s="25" t="s">
        <v>55</v>
      </c>
      <c r="K1725" s="32">
        <v>46146</v>
      </c>
      <c r="L1725" s="25">
        <v>5</v>
      </c>
    </row>
    <row r="1726" spans="10:12">
      <c r="J1726" s="39" t="s">
        <v>63</v>
      </c>
      <c r="K1726" s="40">
        <v>46146</v>
      </c>
      <c r="L1726" s="39">
        <v>8</v>
      </c>
    </row>
    <row r="1727" spans="10:12">
      <c r="J1727" s="25" t="s">
        <v>38</v>
      </c>
      <c r="K1727" s="32">
        <v>46146</v>
      </c>
      <c r="L1727" s="25">
        <v>1</v>
      </c>
    </row>
    <row r="1728" spans="10:12">
      <c r="J1728" s="39" t="s">
        <v>49</v>
      </c>
      <c r="K1728" s="40">
        <v>46146</v>
      </c>
      <c r="L1728" s="39">
        <v>11</v>
      </c>
    </row>
    <row r="1729" spans="10:12">
      <c r="J1729" s="25" t="s">
        <v>53</v>
      </c>
      <c r="K1729" s="32">
        <v>46146</v>
      </c>
      <c r="L1729" s="25">
        <v>1</v>
      </c>
    </row>
    <row r="1730" spans="10:12">
      <c r="J1730" s="39" t="s">
        <v>86</v>
      </c>
      <c r="K1730" s="40">
        <v>46146</v>
      </c>
      <c r="L1730" s="39">
        <v>2</v>
      </c>
    </row>
    <row r="1731" spans="10:12">
      <c r="J1731" s="25" t="s">
        <v>72</v>
      </c>
      <c r="K1731" s="32">
        <v>46146</v>
      </c>
      <c r="L1731" s="25">
        <v>8</v>
      </c>
    </row>
    <row r="1732" spans="10:12">
      <c r="J1732" s="39" t="s">
        <v>84</v>
      </c>
      <c r="K1732" s="40">
        <v>46146</v>
      </c>
      <c r="L1732" s="39">
        <v>17</v>
      </c>
    </row>
    <row r="1733" spans="10:12">
      <c r="J1733" s="25" t="s">
        <v>76</v>
      </c>
      <c r="K1733" s="32">
        <v>46146</v>
      </c>
      <c r="L1733" s="25">
        <v>6</v>
      </c>
    </row>
    <row r="1734" spans="10:12">
      <c r="J1734" s="39" t="s">
        <v>11</v>
      </c>
      <c r="K1734" s="40">
        <v>46146</v>
      </c>
      <c r="L1734" s="39">
        <v>19</v>
      </c>
    </row>
    <row r="1735" spans="10:12">
      <c r="J1735" s="25" t="s">
        <v>70</v>
      </c>
      <c r="K1735" s="32">
        <v>46146</v>
      </c>
      <c r="L1735" s="25">
        <v>17</v>
      </c>
    </row>
    <row r="1736" spans="10:12">
      <c r="J1736" s="39" t="s">
        <v>11</v>
      </c>
      <c r="K1736" s="40">
        <v>46146</v>
      </c>
      <c r="L1736" s="39">
        <v>8</v>
      </c>
    </row>
    <row r="1737" spans="10:12">
      <c r="J1737" s="25" t="s">
        <v>49</v>
      </c>
      <c r="K1737" s="32">
        <v>46146</v>
      </c>
      <c r="L1737" s="25">
        <v>4</v>
      </c>
    </row>
    <row r="1738" spans="10:12">
      <c r="J1738" s="39" t="s">
        <v>76</v>
      </c>
      <c r="K1738" s="40">
        <v>46146</v>
      </c>
      <c r="L1738" s="39">
        <v>26</v>
      </c>
    </row>
    <row r="1739" spans="10:12">
      <c r="J1739" s="25" t="s">
        <v>80</v>
      </c>
      <c r="K1739" s="32">
        <v>46146</v>
      </c>
      <c r="L1739" s="25">
        <v>11</v>
      </c>
    </row>
    <row r="1740" spans="10:12">
      <c r="J1740" s="39" t="s">
        <v>72</v>
      </c>
      <c r="K1740" s="40">
        <v>46146</v>
      </c>
      <c r="L1740" s="39">
        <v>16</v>
      </c>
    </row>
    <row r="1741" spans="10:12">
      <c r="J1741" s="25" t="s">
        <v>43</v>
      </c>
      <c r="K1741" s="32">
        <v>46147</v>
      </c>
      <c r="L1741" s="25">
        <v>2</v>
      </c>
    </row>
    <row r="1742" spans="10:12">
      <c r="J1742" s="39" t="s">
        <v>58</v>
      </c>
      <c r="K1742" s="40">
        <v>46147</v>
      </c>
      <c r="L1742" s="39">
        <v>8</v>
      </c>
    </row>
    <row r="1743" spans="10:12">
      <c r="J1743" s="25" t="s">
        <v>35</v>
      </c>
      <c r="K1743" s="32">
        <v>46147</v>
      </c>
      <c r="L1743" s="25">
        <v>19</v>
      </c>
    </row>
    <row r="1744" spans="10:12">
      <c r="J1744" s="39" t="s">
        <v>31</v>
      </c>
      <c r="K1744" s="40">
        <v>46147</v>
      </c>
      <c r="L1744" s="39">
        <v>19</v>
      </c>
    </row>
    <row r="1745" spans="10:12">
      <c r="J1745" s="25" t="s">
        <v>63</v>
      </c>
      <c r="K1745" s="32">
        <v>46147</v>
      </c>
      <c r="L1745" s="25">
        <v>3</v>
      </c>
    </row>
    <row r="1746" spans="10:12">
      <c r="J1746" s="39" t="s">
        <v>76</v>
      </c>
      <c r="K1746" s="40">
        <v>46147</v>
      </c>
      <c r="L1746" s="39">
        <v>2</v>
      </c>
    </row>
    <row r="1747" spans="10:12">
      <c r="J1747" s="25" t="s">
        <v>96</v>
      </c>
      <c r="K1747" s="32">
        <v>46147</v>
      </c>
      <c r="L1747" s="25">
        <v>4</v>
      </c>
    </row>
    <row r="1748" spans="10:12">
      <c r="J1748" s="39" t="s">
        <v>55</v>
      </c>
      <c r="K1748" s="40">
        <v>46147</v>
      </c>
      <c r="L1748" s="39">
        <v>1</v>
      </c>
    </row>
    <row r="1749" spans="10:12">
      <c r="J1749" s="25" t="s">
        <v>65</v>
      </c>
      <c r="K1749" s="32">
        <v>46147</v>
      </c>
      <c r="L1749" s="25">
        <v>1</v>
      </c>
    </row>
    <row r="1750" spans="10:12">
      <c r="J1750" s="39" t="s">
        <v>53</v>
      </c>
      <c r="K1750" s="40">
        <v>46147</v>
      </c>
      <c r="L1750" s="39">
        <v>4</v>
      </c>
    </row>
    <row r="1751" spans="10:12">
      <c r="J1751" s="25" t="s">
        <v>58</v>
      </c>
      <c r="K1751" s="32">
        <v>46147</v>
      </c>
      <c r="L1751" s="25">
        <v>11</v>
      </c>
    </row>
    <row r="1752" spans="10:12">
      <c r="J1752" s="39" t="s">
        <v>72</v>
      </c>
      <c r="K1752" s="40">
        <v>46147</v>
      </c>
      <c r="L1752" s="39">
        <v>22</v>
      </c>
    </row>
    <row r="1753" spans="10:12">
      <c r="J1753" s="25" t="s">
        <v>84</v>
      </c>
      <c r="K1753" s="32">
        <v>46147</v>
      </c>
      <c r="L1753" s="25">
        <v>4</v>
      </c>
    </row>
    <row r="1754" spans="10:12">
      <c r="J1754" s="39" t="s">
        <v>67</v>
      </c>
      <c r="K1754" s="40">
        <v>46147</v>
      </c>
      <c r="L1754" s="39">
        <v>3</v>
      </c>
    </row>
    <row r="1755" spans="10:12">
      <c r="J1755" s="25" t="s">
        <v>35</v>
      </c>
      <c r="K1755" s="32">
        <v>46147</v>
      </c>
      <c r="L1755" s="25">
        <v>8</v>
      </c>
    </row>
    <row r="1756" spans="10:12">
      <c r="J1756" s="39" t="s">
        <v>61</v>
      </c>
      <c r="K1756" s="40">
        <v>46147</v>
      </c>
      <c r="L1756" s="39">
        <v>4</v>
      </c>
    </row>
    <row r="1757" spans="10:12">
      <c r="J1757" s="25" t="s">
        <v>58</v>
      </c>
      <c r="K1757" s="32">
        <v>46147</v>
      </c>
      <c r="L1757" s="25">
        <v>12</v>
      </c>
    </row>
    <row r="1758" spans="10:12">
      <c r="J1758" s="39" t="s">
        <v>18</v>
      </c>
      <c r="K1758" s="40">
        <v>46147</v>
      </c>
      <c r="L1758" s="39">
        <v>9</v>
      </c>
    </row>
    <row r="1759" spans="10:12">
      <c r="J1759" s="25" t="s">
        <v>94</v>
      </c>
      <c r="K1759" s="32">
        <v>46147</v>
      </c>
      <c r="L1759" s="25">
        <v>9</v>
      </c>
    </row>
    <row r="1760" spans="10:12">
      <c r="J1760" s="39" t="s">
        <v>23</v>
      </c>
      <c r="K1760" s="40">
        <v>46147</v>
      </c>
      <c r="L1760" s="39">
        <v>19</v>
      </c>
    </row>
    <row r="1761" spans="10:12">
      <c r="J1761" s="25" t="s">
        <v>28</v>
      </c>
      <c r="K1761" s="32">
        <v>46148</v>
      </c>
      <c r="L1761" s="25">
        <v>18</v>
      </c>
    </row>
    <row r="1762" spans="10:12">
      <c r="J1762" s="39" t="s">
        <v>78</v>
      </c>
      <c r="K1762" s="40">
        <v>46148</v>
      </c>
      <c r="L1762" s="39">
        <v>3</v>
      </c>
    </row>
    <row r="1763" spans="10:12">
      <c r="J1763" s="25" t="s">
        <v>46</v>
      </c>
      <c r="K1763" s="32">
        <v>46148</v>
      </c>
      <c r="L1763" s="25">
        <v>7</v>
      </c>
    </row>
    <row r="1764" spans="10:12">
      <c r="J1764" s="39" t="s">
        <v>38</v>
      </c>
      <c r="K1764" s="40">
        <v>46148</v>
      </c>
      <c r="L1764" s="39">
        <v>4</v>
      </c>
    </row>
    <row r="1765" spans="10:12">
      <c r="J1765" s="25" t="s">
        <v>84</v>
      </c>
      <c r="K1765" s="32">
        <v>46148</v>
      </c>
      <c r="L1765" s="25">
        <v>11</v>
      </c>
    </row>
    <row r="1766" spans="10:12">
      <c r="J1766" s="39" t="s">
        <v>78</v>
      </c>
      <c r="K1766" s="40">
        <v>46148</v>
      </c>
      <c r="L1766" s="39">
        <v>1</v>
      </c>
    </row>
    <row r="1767" spans="10:12">
      <c r="J1767" s="25" t="s">
        <v>92</v>
      </c>
      <c r="K1767" s="32">
        <v>46148</v>
      </c>
      <c r="L1767" s="25">
        <v>6</v>
      </c>
    </row>
    <row r="1768" spans="10:12">
      <c r="J1768" s="39" t="s">
        <v>70</v>
      </c>
      <c r="K1768" s="40">
        <v>46148</v>
      </c>
      <c r="L1768" s="39">
        <v>5</v>
      </c>
    </row>
    <row r="1769" spans="10:12">
      <c r="J1769" s="25" t="s">
        <v>74</v>
      </c>
      <c r="K1769" s="32">
        <v>46148</v>
      </c>
      <c r="L1769" s="25">
        <v>19</v>
      </c>
    </row>
    <row r="1770" spans="10:12">
      <c r="J1770" s="39" t="s">
        <v>28</v>
      </c>
      <c r="K1770" s="40">
        <v>46148</v>
      </c>
      <c r="L1770" s="39">
        <v>2</v>
      </c>
    </row>
    <row r="1771" spans="10:12">
      <c r="J1771" s="25" t="s">
        <v>53</v>
      </c>
      <c r="K1771" s="32">
        <v>46148</v>
      </c>
      <c r="L1771" s="25">
        <v>17</v>
      </c>
    </row>
    <row r="1772" spans="10:12">
      <c r="J1772" s="39" t="s">
        <v>84</v>
      </c>
      <c r="K1772" s="40">
        <v>46148</v>
      </c>
      <c r="L1772" s="39">
        <v>4</v>
      </c>
    </row>
    <row r="1773" spans="10:12">
      <c r="J1773" s="25" t="s">
        <v>80</v>
      </c>
      <c r="K1773" s="32">
        <v>46148</v>
      </c>
      <c r="L1773" s="25">
        <v>8</v>
      </c>
    </row>
    <row r="1774" spans="10:12">
      <c r="J1774" s="39" t="s">
        <v>96</v>
      </c>
      <c r="K1774" s="40">
        <v>46148</v>
      </c>
      <c r="L1774" s="39">
        <v>2</v>
      </c>
    </row>
    <row r="1775" spans="10:12">
      <c r="J1775" s="25" t="s">
        <v>43</v>
      </c>
      <c r="K1775" s="32">
        <v>46148</v>
      </c>
      <c r="L1775" s="25">
        <v>10</v>
      </c>
    </row>
    <row r="1776" spans="10:12">
      <c r="J1776" s="39" t="s">
        <v>31</v>
      </c>
      <c r="K1776" s="40">
        <v>46149</v>
      </c>
      <c r="L1776" s="39">
        <v>15</v>
      </c>
    </row>
    <row r="1777" spans="10:12">
      <c r="J1777" s="25" t="s">
        <v>86</v>
      </c>
      <c r="K1777" s="32">
        <v>46149</v>
      </c>
      <c r="L1777" s="25">
        <v>4</v>
      </c>
    </row>
    <row r="1778" spans="10:12">
      <c r="J1778" s="39" t="s">
        <v>46</v>
      </c>
      <c r="K1778" s="40">
        <v>46149</v>
      </c>
      <c r="L1778" s="39">
        <v>17</v>
      </c>
    </row>
    <row r="1779" spans="10:12">
      <c r="J1779" s="25" t="s">
        <v>38</v>
      </c>
      <c r="K1779" s="32">
        <v>46149</v>
      </c>
      <c r="L1779" s="25">
        <v>2</v>
      </c>
    </row>
    <row r="1780" spans="10:12">
      <c r="J1780" s="39" t="s">
        <v>23</v>
      </c>
      <c r="K1780" s="40">
        <v>46149</v>
      </c>
      <c r="L1780" s="39">
        <v>11</v>
      </c>
    </row>
    <row r="1781" spans="10:12">
      <c r="J1781" s="25" t="s">
        <v>78</v>
      </c>
      <c r="K1781" s="32">
        <v>46149</v>
      </c>
      <c r="L1781" s="25">
        <v>1</v>
      </c>
    </row>
    <row r="1782" spans="10:12">
      <c r="J1782" s="39" t="s">
        <v>55</v>
      </c>
      <c r="K1782" s="40">
        <v>46149</v>
      </c>
      <c r="L1782" s="39">
        <v>24</v>
      </c>
    </row>
    <row r="1783" spans="10:12">
      <c r="J1783" s="25" t="s">
        <v>55</v>
      </c>
      <c r="K1783" s="32">
        <v>46149</v>
      </c>
      <c r="L1783" s="25">
        <v>3</v>
      </c>
    </row>
    <row r="1784" spans="10:12">
      <c r="J1784" s="39" t="s">
        <v>11</v>
      </c>
      <c r="K1784" s="40">
        <v>46149</v>
      </c>
      <c r="L1784" s="39">
        <v>10</v>
      </c>
    </row>
    <row r="1785" spans="10:12">
      <c r="J1785" s="25" t="s">
        <v>11</v>
      </c>
      <c r="K1785" s="32">
        <v>46149</v>
      </c>
      <c r="L1785" s="25">
        <v>20</v>
      </c>
    </row>
    <row r="1786" spans="10:12">
      <c r="J1786" s="39" t="s">
        <v>100</v>
      </c>
      <c r="K1786" s="40">
        <v>46149</v>
      </c>
      <c r="L1786" s="39">
        <v>4</v>
      </c>
    </row>
    <row r="1787" spans="10:12">
      <c r="J1787" s="25" t="s">
        <v>38</v>
      </c>
      <c r="K1787" s="32">
        <v>46149</v>
      </c>
      <c r="L1787" s="25">
        <v>16</v>
      </c>
    </row>
    <row r="1788" spans="10:12">
      <c r="J1788" s="39" t="s">
        <v>43</v>
      </c>
      <c r="K1788" s="40">
        <v>46149</v>
      </c>
      <c r="L1788" s="39">
        <v>8</v>
      </c>
    </row>
    <row r="1789" spans="10:12">
      <c r="J1789" s="25" t="s">
        <v>72</v>
      </c>
      <c r="K1789" s="32">
        <v>46149</v>
      </c>
      <c r="L1789" s="25">
        <v>19</v>
      </c>
    </row>
    <row r="1790" spans="10:12">
      <c r="J1790" s="39" t="s">
        <v>58</v>
      </c>
      <c r="K1790" s="40">
        <v>46149</v>
      </c>
      <c r="L1790" s="39">
        <v>6</v>
      </c>
    </row>
    <row r="1791" spans="10:12">
      <c r="J1791" s="25" t="s">
        <v>58</v>
      </c>
      <c r="K1791" s="32">
        <v>46149</v>
      </c>
      <c r="L1791" s="25">
        <v>4</v>
      </c>
    </row>
    <row r="1792" spans="10:12">
      <c r="J1792" s="39" t="s">
        <v>61</v>
      </c>
      <c r="K1792" s="40">
        <v>46150</v>
      </c>
      <c r="L1792" s="39">
        <v>8</v>
      </c>
    </row>
    <row r="1793" spans="10:12">
      <c r="J1793" s="25" t="s">
        <v>58</v>
      </c>
      <c r="K1793" s="32">
        <v>46150</v>
      </c>
      <c r="L1793" s="25">
        <v>4</v>
      </c>
    </row>
    <row r="1794" spans="10:12">
      <c r="J1794" s="39" t="s">
        <v>72</v>
      </c>
      <c r="K1794" s="40">
        <v>46150</v>
      </c>
      <c r="L1794" s="39">
        <v>7</v>
      </c>
    </row>
    <row r="1795" spans="10:12">
      <c r="J1795" s="25" t="s">
        <v>40</v>
      </c>
      <c r="K1795" s="32">
        <v>46150</v>
      </c>
      <c r="L1795" s="25">
        <v>3</v>
      </c>
    </row>
    <row r="1796" spans="10:12">
      <c r="J1796" s="39" t="s">
        <v>43</v>
      </c>
      <c r="K1796" s="40">
        <v>46150</v>
      </c>
      <c r="L1796" s="39">
        <v>7</v>
      </c>
    </row>
    <row r="1797" spans="10:12">
      <c r="J1797" s="25" t="s">
        <v>38</v>
      </c>
      <c r="K1797" s="32">
        <v>46150</v>
      </c>
      <c r="L1797" s="25">
        <v>1</v>
      </c>
    </row>
    <row r="1798" spans="10:12">
      <c r="J1798" s="39" t="s">
        <v>51</v>
      </c>
      <c r="K1798" s="40">
        <v>46150</v>
      </c>
      <c r="L1798" s="39">
        <v>2</v>
      </c>
    </row>
    <row r="1799" spans="10:12">
      <c r="J1799" s="25" t="s">
        <v>11</v>
      </c>
      <c r="K1799" s="32">
        <v>46150</v>
      </c>
      <c r="L1799" s="25">
        <v>11</v>
      </c>
    </row>
    <row r="1800" spans="10:12">
      <c r="J1800" s="39" t="s">
        <v>38</v>
      </c>
      <c r="K1800" s="40">
        <v>46150</v>
      </c>
      <c r="L1800" s="39">
        <v>1</v>
      </c>
    </row>
    <row r="1801" spans="10:12">
      <c r="J1801" s="25" t="s">
        <v>86</v>
      </c>
      <c r="K1801" s="32">
        <v>46150</v>
      </c>
      <c r="L1801" s="25">
        <v>7</v>
      </c>
    </row>
    <row r="1802" spans="10:12">
      <c r="J1802" s="39" t="s">
        <v>94</v>
      </c>
      <c r="K1802" s="40">
        <v>46150</v>
      </c>
      <c r="L1802" s="39">
        <v>3</v>
      </c>
    </row>
    <row r="1803" spans="10:12">
      <c r="J1803" s="25" t="s">
        <v>18</v>
      </c>
      <c r="K1803" s="32">
        <v>46151</v>
      </c>
      <c r="L1803" s="25">
        <v>3</v>
      </c>
    </row>
    <row r="1804" spans="10:12">
      <c r="J1804" s="39" t="s">
        <v>92</v>
      </c>
      <c r="K1804" s="40">
        <v>46151</v>
      </c>
      <c r="L1804" s="39">
        <v>11</v>
      </c>
    </row>
    <row r="1805" spans="10:12">
      <c r="J1805" s="25" t="s">
        <v>49</v>
      </c>
      <c r="K1805" s="32">
        <v>46151</v>
      </c>
      <c r="L1805" s="25">
        <v>2</v>
      </c>
    </row>
    <row r="1806" spans="10:12">
      <c r="J1806" s="39" t="s">
        <v>78</v>
      </c>
      <c r="K1806" s="40">
        <v>46151</v>
      </c>
      <c r="L1806" s="39">
        <v>9</v>
      </c>
    </row>
    <row r="1807" spans="10:12">
      <c r="J1807" s="25" t="s">
        <v>74</v>
      </c>
      <c r="K1807" s="32">
        <v>46151</v>
      </c>
      <c r="L1807" s="25">
        <v>2</v>
      </c>
    </row>
    <row r="1808" spans="10:12">
      <c r="J1808" s="39" t="s">
        <v>11</v>
      </c>
      <c r="K1808" s="40">
        <v>46151</v>
      </c>
      <c r="L1808" s="39">
        <v>7</v>
      </c>
    </row>
    <row r="1809" spans="10:12">
      <c r="J1809" s="25" t="s">
        <v>96</v>
      </c>
      <c r="K1809" s="32">
        <v>46151</v>
      </c>
      <c r="L1809" s="25">
        <v>2</v>
      </c>
    </row>
    <row r="1810" spans="10:12">
      <c r="J1810" s="39" t="s">
        <v>70</v>
      </c>
      <c r="K1810" s="40">
        <v>46151</v>
      </c>
      <c r="L1810" s="39">
        <v>1</v>
      </c>
    </row>
    <row r="1811" spans="10:12">
      <c r="J1811" s="25" t="s">
        <v>96</v>
      </c>
      <c r="K1811" s="32">
        <v>46151</v>
      </c>
      <c r="L1811" s="25">
        <v>7</v>
      </c>
    </row>
    <row r="1812" spans="10:12">
      <c r="J1812" s="39" t="s">
        <v>78</v>
      </c>
      <c r="K1812" s="40">
        <v>46151</v>
      </c>
      <c r="L1812" s="39">
        <v>3</v>
      </c>
    </row>
    <row r="1813" spans="10:12">
      <c r="J1813" s="25" t="s">
        <v>72</v>
      </c>
      <c r="K1813" s="32">
        <v>46151</v>
      </c>
      <c r="L1813" s="25">
        <v>19</v>
      </c>
    </row>
    <row r="1814" spans="10:12">
      <c r="J1814" s="39" t="s">
        <v>46</v>
      </c>
      <c r="K1814" s="40">
        <v>46151</v>
      </c>
      <c r="L1814" s="39">
        <v>23</v>
      </c>
    </row>
    <row r="1815" spans="10:12">
      <c r="J1815" s="25" t="s">
        <v>76</v>
      </c>
      <c r="K1815" s="32">
        <v>46151</v>
      </c>
      <c r="L1815" s="25">
        <v>1</v>
      </c>
    </row>
    <row r="1816" spans="10:12">
      <c r="J1816" s="39" t="s">
        <v>65</v>
      </c>
      <c r="K1816" s="40">
        <v>46151</v>
      </c>
      <c r="L1816" s="39">
        <v>15</v>
      </c>
    </row>
    <row r="1817" spans="10:12">
      <c r="J1817" s="25" t="s">
        <v>40</v>
      </c>
      <c r="K1817" s="32">
        <v>46151</v>
      </c>
      <c r="L1817" s="25">
        <v>14</v>
      </c>
    </row>
    <row r="1818" spans="10:12">
      <c r="J1818" s="39" t="s">
        <v>46</v>
      </c>
      <c r="K1818" s="40">
        <v>46151</v>
      </c>
      <c r="L1818" s="39">
        <v>3</v>
      </c>
    </row>
    <row r="1819" spans="10:12">
      <c r="J1819" s="25" t="s">
        <v>90</v>
      </c>
      <c r="K1819" s="32">
        <v>46152</v>
      </c>
      <c r="L1819" s="25">
        <v>12</v>
      </c>
    </row>
    <row r="1820" spans="10:12">
      <c r="J1820" s="39" t="s">
        <v>90</v>
      </c>
      <c r="K1820" s="40">
        <v>46152</v>
      </c>
      <c r="L1820" s="39">
        <v>2</v>
      </c>
    </row>
    <row r="1821" spans="10:12">
      <c r="J1821" s="25" t="s">
        <v>82</v>
      </c>
      <c r="K1821" s="32">
        <v>46152</v>
      </c>
      <c r="L1821" s="25">
        <v>3</v>
      </c>
    </row>
    <row r="1822" spans="10:12">
      <c r="J1822" s="39" t="s">
        <v>86</v>
      </c>
      <c r="K1822" s="40">
        <v>46152</v>
      </c>
      <c r="L1822" s="39">
        <v>5</v>
      </c>
    </row>
    <row r="1823" spans="10:12">
      <c r="J1823" s="25" t="s">
        <v>18</v>
      </c>
      <c r="K1823" s="32">
        <v>46152</v>
      </c>
      <c r="L1823" s="25">
        <v>7</v>
      </c>
    </row>
    <row r="1824" spans="10:12">
      <c r="J1824" s="39" t="s">
        <v>43</v>
      </c>
      <c r="K1824" s="40">
        <v>46152</v>
      </c>
      <c r="L1824" s="39">
        <v>18</v>
      </c>
    </row>
    <row r="1825" spans="10:12">
      <c r="J1825" s="25" t="s">
        <v>35</v>
      </c>
      <c r="K1825" s="32">
        <v>46152</v>
      </c>
      <c r="L1825" s="25">
        <v>3</v>
      </c>
    </row>
    <row r="1826" spans="10:12">
      <c r="J1826" s="39" t="s">
        <v>78</v>
      </c>
      <c r="K1826" s="40">
        <v>46152</v>
      </c>
      <c r="L1826" s="39">
        <v>4</v>
      </c>
    </row>
    <row r="1827" spans="10:12">
      <c r="J1827" s="25" t="s">
        <v>38</v>
      </c>
      <c r="K1827" s="32">
        <v>46152</v>
      </c>
      <c r="L1827" s="25">
        <v>20</v>
      </c>
    </row>
    <row r="1828" spans="10:12">
      <c r="J1828" s="39" t="s">
        <v>98</v>
      </c>
      <c r="K1828" s="40">
        <v>46152</v>
      </c>
      <c r="L1828" s="39">
        <v>5</v>
      </c>
    </row>
    <row r="1829" spans="10:12">
      <c r="J1829" s="25" t="s">
        <v>51</v>
      </c>
      <c r="K1829" s="32">
        <v>46152</v>
      </c>
      <c r="L1829" s="25">
        <v>9</v>
      </c>
    </row>
    <row r="1830" spans="10:12">
      <c r="J1830" s="39" t="s">
        <v>84</v>
      </c>
      <c r="K1830" s="40">
        <v>46153</v>
      </c>
      <c r="L1830" s="39">
        <v>5</v>
      </c>
    </row>
    <row r="1831" spans="10:12">
      <c r="J1831" s="25" t="s">
        <v>51</v>
      </c>
      <c r="K1831" s="32">
        <v>46153</v>
      </c>
      <c r="L1831" s="25">
        <v>20</v>
      </c>
    </row>
    <row r="1832" spans="10:12">
      <c r="J1832" s="39" t="s">
        <v>67</v>
      </c>
      <c r="K1832" s="40">
        <v>46153</v>
      </c>
      <c r="L1832" s="39">
        <v>5</v>
      </c>
    </row>
    <row r="1833" spans="10:12">
      <c r="J1833" s="25" t="s">
        <v>74</v>
      </c>
      <c r="K1833" s="32">
        <v>46153</v>
      </c>
      <c r="L1833" s="25">
        <v>2</v>
      </c>
    </row>
    <row r="1834" spans="10:12">
      <c r="J1834" s="39" t="s">
        <v>78</v>
      </c>
      <c r="K1834" s="40">
        <v>46153</v>
      </c>
      <c r="L1834" s="39">
        <v>10</v>
      </c>
    </row>
    <row r="1835" spans="10:12">
      <c r="J1835" s="25" t="s">
        <v>82</v>
      </c>
      <c r="K1835" s="32">
        <v>46153</v>
      </c>
      <c r="L1835" s="25">
        <v>6</v>
      </c>
    </row>
    <row r="1836" spans="10:12">
      <c r="J1836" s="39" t="s">
        <v>28</v>
      </c>
      <c r="K1836" s="40">
        <v>46153</v>
      </c>
      <c r="L1836" s="39">
        <v>8</v>
      </c>
    </row>
    <row r="1837" spans="10:12">
      <c r="J1837" s="25" t="s">
        <v>67</v>
      </c>
      <c r="K1837" s="32">
        <v>46153</v>
      </c>
      <c r="L1837" s="25">
        <v>11</v>
      </c>
    </row>
    <row r="1838" spans="10:12">
      <c r="J1838" s="39" t="s">
        <v>98</v>
      </c>
      <c r="K1838" s="40">
        <v>46153</v>
      </c>
      <c r="L1838" s="39">
        <v>17</v>
      </c>
    </row>
    <row r="1839" spans="10:12">
      <c r="J1839" s="25" t="s">
        <v>49</v>
      </c>
      <c r="K1839" s="32">
        <v>46153</v>
      </c>
      <c r="L1839" s="25">
        <v>6</v>
      </c>
    </row>
    <row r="1840" spans="10:12">
      <c r="J1840" s="39" t="s">
        <v>82</v>
      </c>
      <c r="K1840" s="40">
        <v>46153</v>
      </c>
      <c r="L1840" s="39">
        <v>6</v>
      </c>
    </row>
    <row r="1841" spans="10:12">
      <c r="J1841" s="25" t="s">
        <v>72</v>
      </c>
      <c r="K1841" s="32">
        <v>46153</v>
      </c>
      <c r="L1841" s="25">
        <v>7</v>
      </c>
    </row>
    <row r="1842" spans="10:12">
      <c r="J1842" s="39" t="s">
        <v>28</v>
      </c>
      <c r="K1842" s="40">
        <v>46153</v>
      </c>
      <c r="L1842" s="39">
        <v>22</v>
      </c>
    </row>
    <row r="1843" spans="10:12">
      <c r="J1843" s="25" t="s">
        <v>65</v>
      </c>
      <c r="K1843" s="32">
        <v>46154</v>
      </c>
      <c r="L1843" s="25">
        <v>1</v>
      </c>
    </row>
    <row r="1844" spans="10:12">
      <c r="J1844" s="39" t="s">
        <v>55</v>
      </c>
      <c r="K1844" s="40">
        <v>46154</v>
      </c>
      <c r="L1844" s="39">
        <v>7</v>
      </c>
    </row>
    <row r="1845" spans="10:12">
      <c r="J1845" s="25" t="s">
        <v>53</v>
      </c>
      <c r="K1845" s="32">
        <v>46154</v>
      </c>
      <c r="L1845" s="25">
        <v>14</v>
      </c>
    </row>
    <row r="1846" spans="10:12">
      <c r="J1846" s="39" t="s">
        <v>61</v>
      </c>
      <c r="K1846" s="40">
        <v>46154</v>
      </c>
      <c r="L1846" s="39">
        <v>1</v>
      </c>
    </row>
    <row r="1847" spans="10:12">
      <c r="J1847" s="25" t="s">
        <v>96</v>
      </c>
      <c r="K1847" s="32">
        <v>46154</v>
      </c>
      <c r="L1847" s="25">
        <v>18</v>
      </c>
    </row>
    <row r="1848" spans="10:12">
      <c r="J1848" s="39" t="s">
        <v>94</v>
      </c>
      <c r="K1848" s="40">
        <v>46154</v>
      </c>
      <c r="L1848" s="39">
        <v>6</v>
      </c>
    </row>
    <row r="1849" spans="10:12">
      <c r="J1849" s="25" t="s">
        <v>31</v>
      </c>
      <c r="K1849" s="32">
        <v>46154</v>
      </c>
      <c r="L1849" s="25">
        <v>2</v>
      </c>
    </row>
    <row r="1850" spans="10:12">
      <c r="J1850" s="39" t="s">
        <v>11</v>
      </c>
      <c r="K1850" s="40">
        <v>46154</v>
      </c>
      <c r="L1850" s="39">
        <v>4</v>
      </c>
    </row>
    <row r="1851" spans="10:12">
      <c r="J1851" s="25" t="s">
        <v>98</v>
      </c>
      <c r="K1851" s="32">
        <v>46154</v>
      </c>
      <c r="L1851" s="25">
        <v>20</v>
      </c>
    </row>
    <row r="1852" spans="10:12">
      <c r="J1852" s="39" t="s">
        <v>51</v>
      </c>
      <c r="K1852" s="40">
        <v>46154</v>
      </c>
      <c r="L1852" s="39">
        <v>4</v>
      </c>
    </row>
    <row r="1853" spans="10:12">
      <c r="J1853" s="25" t="s">
        <v>28</v>
      </c>
      <c r="K1853" s="32">
        <v>46154</v>
      </c>
      <c r="L1853" s="25">
        <v>2</v>
      </c>
    </row>
    <row r="1854" spans="10:12">
      <c r="J1854" s="39" t="s">
        <v>58</v>
      </c>
      <c r="K1854" s="40">
        <v>46154</v>
      </c>
      <c r="L1854" s="39">
        <v>11</v>
      </c>
    </row>
    <row r="1855" spans="10:12">
      <c r="J1855" s="25" t="s">
        <v>86</v>
      </c>
      <c r="K1855" s="32">
        <v>46154</v>
      </c>
      <c r="L1855" s="25">
        <v>11</v>
      </c>
    </row>
    <row r="1856" spans="10:12">
      <c r="J1856" s="39" t="s">
        <v>11</v>
      </c>
      <c r="K1856" s="40">
        <v>46154</v>
      </c>
      <c r="L1856" s="39">
        <v>7</v>
      </c>
    </row>
    <row r="1857" spans="10:12">
      <c r="J1857" s="25" t="s">
        <v>23</v>
      </c>
      <c r="K1857" s="32">
        <v>46154</v>
      </c>
      <c r="L1857" s="25">
        <v>2</v>
      </c>
    </row>
    <row r="1858" spans="10:12">
      <c r="J1858" s="39" t="s">
        <v>65</v>
      </c>
      <c r="K1858" s="40">
        <v>46154</v>
      </c>
      <c r="L1858" s="39">
        <v>20</v>
      </c>
    </row>
    <row r="1859" spans="10:12">
      <c r="J1859" s="25" t="s">
        <v>82</v>
      </c>
      <c r="K1859" s="32">
        <v>46155</v>
      </c>
      <c r="L1859" s="25">
        <v>1</v>
      </c>
    </row>
    <row r="1860" spans="10:12">
      <c r="J1860" s="39" t="s">
        <v>55</v>
      </c>
      <c r="K1860" s="40">
        <v>46155</v>
      </c>
      <c r="L1860" s="39">
        <v>28</v>
      </c>
    </row>
    <row r="1861" spans="10:12">
      <c r="J1861" s="25" t="s">
        <v>70</v>
      </c>
      <c r="K1861" s="32">
        <v>46155</v>
      </c>
      <c r="L1861" s="25">
        <v>2</v>
      </c>
    </row>
    <row r="1862" spans="10:12">
      <c r="J1862" s="39" t="s">
        <v>38</v>
      </c>
      <c r="K1862" s="40">
        <v>46155</v>
      </c>
      <c r="L1862" s="39">
        <v>25</v>
      </c>
    </row>
    <row r="1863" spans="10:12">
      <c r="J1863" s="25" t="s">
        <v>51</v>
      </c>
      <c r="K1863" s="32">
        <v>46155</v>
      </c>
      <c r="L1863" s="25">
        <v>11</v>
      </c>
    </row>
    <row r="1864" spans="10:12">
      <c r="J1864" s="39" t="s">
        <v>80</v>
      </c>
      <c r="K1864" s="40">
        <v>46155</v>
      </c>
      <c r="L1864" s="39">
        <v>1</v>
      </c>
    </row>
    <row r="1865" spans="10:12">
      <c r="J1865" s="25" t="s">
        <v>23</v>
      </c>
      <c r="K1865" s="32">
        <v>46155</v>
      </c>
      <c r="L1865" s="25">
        <v>6</v>
      </c>
    </row>
    <row r="1866" spans="10:12">
      <c r="J1866" s="39" t="s">
        <v>55</v>
      </c>
      <c r="K1866" s="40">
        <v>46155</v>
      </c>
      <c r="L1866" s="39">
        <v>5</v>
      </c>
    </row>
    <row r="1867" spans="10:12">
      <c r="J1867" s="25" t="s">
        <v>78</v>
      </c>
      <c r="K1867" s="32">
        <v>46155</v>
      </c>
      <c r="L1867" s="25">
        <v>21</v>
      </c>
    </row>
    <row r="1868" spans="10:12">
      <c r="J1868" s="39" t="s">
        <v>58</v>
      </c>
      <c r="K1868" s="40">
        <v>46155</v>
      </c>
      <c r="L1868" s="39">
        <v>4</v>
      </c>
    </row>
    <row r="1869" spans="10:12">
      <c r="J1869" s="25" t="s">
        <v>96</v>
      </c>
      <c r="K1869" s="32">
        <v>46155</v>
      </c>
      <c r="L1869" s="25">
        <v>19</v>
      </c>
    </row>
    <row r="1870" spans="10:12">
      <c r="J1870" s="39" t="s">
        <v>65</v>
      </c>
      <c r="K1870" s="40">
        <v>46155</v>
      </c>
      <c r="L1870" s="39">
        <v>3</v>
      </c>
    </row>
    <row r="1871" spans="10:12">
      <c r="J1871" s="25" t="s">
        <v>98</v>
      </c>
      <c r="K1871" s="32">
        <v>46156</v>
      </c>
      <c r="L1871" s="25">
        <v>13</v>
      </c>
    </row>
    <row r="1872" spans="10:12">
      <c r="J1872" s="39" t="s">
        <v>88</v>
      </c>
      <c r="K1872" s="40">
        <v>46156</v>
      </c>
      <c r="L1872" s="39">
        <v>14</v>
      </c>
    </row>
    <row r="1873" spans="10:12">
      <c r="J1873" s="25" t="s">
        <v>43</v>
      </c>
      <c r="K1873" s="32">
        <v>46156</v>
      </c>
      <c r="L1873" s="25">
        <v>25</v>
      </c>
    </row>
    <row r="1874" spans="10:12">
      <c r="J1874" s="39" t="s">
        <v>38</v>
      </c>
      <c r="K1874" s="40">
        <v>46156</v>
      </c>
      <c r="L1874" s="39">
        <v>10</v>
      </c>
    </row>
    <row r="1875" spans="10:12">
      <c r="J1875" s="25" t="s">
        <v>82</v>
      </c>
      <c r="K1875" s="32">
        <v>46156</v>
      </c>
      <c r="L1875" s="25">
        <v>2</v>
      </c>
    </row>
    <row r="1876" spans="10:12">
      <c r="J1876" s="39" t="s">
        <v>78</v>
      </c>
      <c r="K1876" s="40">
        <v>46156</v>
      </c>
      <c r="L1876" s="39">
        <v>24</v>
      </c>
    </row>
    <row r="1877" spans="10:12">
      <c r="J1877" s="25" t="s">
        <v>88</v>
      </c>
      <c r="K1877" s="32">
        <v>46156</v>
      </c>
      <c r="L1877" s="25">
        <v>18</v>
      </c>
    </row>
    <row r="1878" spans="10:12">
      <c r="J1878" s="39" t="s">
        <v>67</v>
      </c>
      <c r="K1878" s="40">
        <v>46156</v>
      </c>
      <c r="L1878" s="39">
        <v>1</v>
      </c>
    </row>
    <row r="1879" spans="10:12">
      <c r="J1879" s="25" t="s">
        <v>84</v>
      </c>
      <c r="K1879" s="32">
        <v>46156</v>
      </c>
      <c r="L1879" s="25">
        <v>14</v>
      </c>
    </row>
    <row r="1880" spans="10:12">
      <c r="J1880" s="39" t="s">
        <v>46</v>
      </c>
      <c r="K1880" s="40">
        <v>46156</v>
      </c>
      <c r="L1880" s="39">
        <v>8</v>
      </c>
    </row>
    <row r="1881" spans="10:12">
      <c r="J1881" s="25" t="s">
        <v>53</v>
      </c>
      <c r="K1881" s="32">
        <v>46156</v>
      </c>
      <c r="L1881" s="25">
        <v>20</v>
      </c>
    </row>
    <row r="1882" spans="10:12">
      <c r="J1882" s="39" t="s">
        <v>92</v>
      </c>
      <c r="K1882" s="40">
        <v>46156</v>
      </c>
      <c r="L1882" s="39">
        <v>5</v>
      </c>
    </row>
    <row r="1883" spans="10:12">
      <c r="J1883" s="25" t="s">
        <v>88</v>
      </c>
      <c r="K1883" s="32">
        <v>46156</v>
      </c>
      <c r="L1883" s="25">
        <v>6</v>
      </c>
    </row>
    <row r="1884" spans="10:12">
      <c r="J1884" s="39" t="s">
        <v>65</v>
      </c>
      <c r="K1884" s="40">
        <v>46156</v>
      </c>
      <c r="L1884" s="39">
        <v>1</v>
      </c>
    </row>
    <row r="1885" spans="10:12">
      <c r="J1885" s="25" t="s">
        <v>43</v>
      </c>
      <c r="K1885" s="32">
        <v>46156</v>
      </c>
      <c r="L1885" s="25">
        <v>16</v>
      </c>
    </row>
    <row r="1886" spans="10:12">
      <c r="J1886" s="39" t="s">
        <v>61</v>
      </c>
      <c r="K1886" s="40">
        <v>46156</v>
      </c>
      <c r="L1886" s="39">
        <v>3</v>
      </c>
    </row>
    <row r="1887" spans="10:12">
      <c r="J1887" s="25" t="s">
        <v>98</v>
      </c>
      <c r="K1887" s="32">
        <v>46157</v>
      </c>
      <c r="L1887" s="25">
        <v>9</v>
      </c>
    </row>
    <row r="1888" spans="10:12">
      <c r="J1888" s="39" t="s">
        <v>18</v>
      </c>
      <c r="K1888" s="40">
        <v>46157</v>
      </c>
      <c r="L1888" s="39">
        <v>6</v>
      </c>
    </row>
    <row r="1889" spans="10:12">
      <c r="J1889" s="25" t="s">
        <v>80</v>
      </c>
      <c r="K1889" s="32">
        <v>46157</v>
      </c>
      <c r="L1889" s="25">
        <v>1</v>
      </c>
    </row>
    <row r="1890" spans="10:12">
      <c r="J1890" s="39" t="s">
        <v>92</v>
      </c>
      <c r="K1890" s="40">
        <v>46157</v>
      </c>
      <c r="L1890" s="39">
        <v>7</v>
      </c>
    </row>
    <row r="1891" spans="10:12">
      <c r="J1891" s="25" t="s">
        <v>51</v>
      </c>
      <c r="K1891" s="32">
        <v>46157</v>
      </c>
      <c r="L1891" s="25">
        <v>1</v>
      </c>
    </row>
    <row r="1892" spans="10:12">
      <c r="J1892" s="39" t="s">
        <v>74</v>
      </c>
      <c r="K1892" s="40">
        <v>46157</v>
      </c>
      <c r="L1892" s="39">
        <v>14</v>
      </c>
    </row>
    <row r="1893" spans="10:12">
      <c r="J1893" s="25" t="s">
        <v>70</v>
      </c>
      <c r="K1893" s="32">
        <v>46157</v>
      </c>
      <c r="L1893" s="25">
        <v>2</v>
      </c>
    </row>
    <row r="1894" spans="10:12">
      <c r="J1894" s="39" t="s">
        <v>51</v>
      </c>
      <c r="K1894" s="40">
        <v>46157</v>
      </c>
      <c r="L1894" s="39">
        <v>8</v>
      </c>
    </row>
    <row r="1895" spans="10:12">
      <c r="J1895" s="25" t="s">
        <v>65</v>
      </c>
      <c r="K1895" s="32">
        <v>46157</v>
      </c>
      <c r="L1895" s="25">
        <v>11</v>
      </c>
    </row>
    <row r="1896" spans="10:12">
      <c r="J1896" s="39" t="s">
        <v>96</v>
      </c>
      <c r="K1896" s="40">
        <v>46157</v>
      </c>
      <c r="L1896" s="39">
        <v>5</v>
      </c>
    </row>
    <row r="1897" spans="10:12">
      <c r="J1897" s="25" t="s">
        <v>40</v>
      </c>
      <c r="K1897" s="32">
        <v>46157</v>
      </c>
      <c r="L1897" s="25">
        <v>10</v>
      </c>
    </row>
    <row r="1898" spans="10:12">
      <c r="J1898" s="39" t="s">
        <v>61</v>
      </c>
      <c r="K1898" s="40">
        <v>46157</v>
      </c>
      <c r="L1898" s="39">
        <v>9</v>
      </c>
    </row>
    <row r="1899" spans="10:12">
      <c r="J1899" s="25" t="s">
        <v>74</v>
      </c>
      <c r="K1899" s="32">
        <v>46157</v>
      </c>
      <c r="L1899" s="25">
        <v>8</v>
      </c>
    </row>
    <row r="1900" spans="10:12">
      <c r="J1900" s="39" t="s">
        <v>76</v>
      </c>
      <c r="K1900" s="40">
        <v>46157</v>
      </c>
      <c r="L1900" s="39">
        <v>9</v>
      </c>
    </row>
    <row r="1901" spans="10:12">
      <c r="J1901" s="25" t="s">
        <v>70</v>
      </c>
      <c r="K1901" s="32">
        <v>46157</v>
      </c>
      <c r="L1901" s="25">
        <v>11</v>
      </c>
    </row>
    <row r="1902" spans="10:12">
      <c r="J1902" s="39" t="s">
        <v>90</v>
      </c>
      <c r="K1902" s="40">
        <v>46157</v>
      </c>
      <c r="L1902" s="39">
        <v>3</v>
      </c>
    </row>
    <row r="1903" spans="10:12">
      <c r="J1903" s="25" t="s">
        <v>74</v>
      </c>
      <c r="K1903" s="32">
        <v>46157</v>
      </c>
      <c r="L1903" s="25">
        <v>6</v>
      </c>
    </row>
    <row r="1904" spans="10:12">
      <c r="J1904" s="39" t="s">
        <v>38</v>
      </c>
      <c r="K1904" s="40">
        <v>46157</v>
      </c>
      <c r="L1904" s="39">
        <v>4</v>
      </c>
    </row>
    <row r="1905" spans="10:12">
      <c r="J1905" s="25" t="s">
        <v>61</v>
      </c>
      <c r="K1905" s="32">
        <v>46157</v>
      </c>
      <c r="L1905" s="25">
        <v>7</v>
      </c>
    </row>
    <row r="1906" spans="10:12">
      <c r="J1906" s="39" t="s">
        <v>70</v>
      </c>
      <c r="K1906" s="40">
        <v>46157</v>
      </c>
      <c r="L1906" s="39">
        <v>2</v>
      </c>
    </row>
    <row r="1907" spans="10:12">
      <c r="J1907" s="25" t="s">
        <v>74</v>
      </c>
      <c r="K1907" s="32">
        <v>46157</v>
      </c>
      <c r="L1907" s="25">
        <v>13</v>
      </c>
    </row>
    <row r="1908" spans="10:12">
      <c r="J1908" s="39" t="s">
        <v>84</v>
      </c>
      <c r="K1908" s="40">
        <v>46158</v>
      </c>
      <c r="L1908" s="39">
        <v>14</v>
      </c>
    </row>
    <row r="1909" spans="10:12">
      <c r="J1909" s="25" t="s">
        <v>86</v>
      </c>
      <c r="K1909" s="32">
        <v>46158</v>
      </c>
      <c r="L1909" s="25">
        <v>8</v>
      </c>
    </row>
    <row r="1910" spans="10:12">
      <c r="J1910" s="39" t="s">
        <v>51</v>
      </c>
      <c r="K1910" s="40">
        <v>46158</v>
      </c>
      <c r="L1910" s="39">
        <v>27</v>
      </c>
    </row>
    <row r="1911" spans="10:12">
      <c r="J1911" s="25" t="s">
        <v>78</v>
      </c>
      <c r="K1911" s="32">
        <v>46158</v>
      </c>
      <c r="L1911" s="25">
        <v>7</v>
      </c>
    </row>
    <row r="1912" spans="10:12">
      <c r="J1912" s="39" t="s">
        <v>18</v>
      </c>
      <c r="K1912" s="40">
        <v>46158</v>
      </c>
      <c r="L1912" s="39">
        <v>9</v>
      </c>
    </row>
    <row r="1913" spans="10:12">
      <c r="J1913" s="25" t="s">
        <v>80</v>
      </c>
      <c r="K1913" s="32">
        <v>46158</v>
      </c>
      <c r="L1913" s="25">
        <v>9</v>
      </c>
    </row>
    <row r="1914" spans="10:12">
      <c r="J1914" s="39" t="s">
        <v>53</v>
      </c>
      <c r="K1914" s="40">
        <v>46158</v>
      </c>
      <c r="L1914" s="39">
        <v>18</v>
      </c>
    </row>
    <row r="1915" spans="10:12">
      <c r="J1915" s="25" t="s">
        <v>58</v>
      </c>
      <c r="K1915" s="32">
        <v>46158</v>
      </c>
      <c r="L1915" s="25">
        <v>8</v>
      </c>
    </row>
    <row r="1916" spans="10:12">
      <c r="J1916" s="39" t="s">
        <v>23</v>
      </c>
      <c r="K1916" s="40">
        <v>46158</v>
      </c>
      <c r="L1916" s="39">
        <v>4</v>
      </c>
    </row>
    <row r="1917" spans="10:12">
      <c r="J1917" s="25" t="s">
        <v>96</v>
      </c>
      <c r="K1917" s="32">
        <v>46158</v>
      </c>
      <c r="L1917" s="25">
        <v>17</v>
      </c>
    </row>
    <row r="1918" spans="10:12">
      <c r="J1918" s="39" t="s">
        <v>84</v>
      </c>
      <c r="K1918" s="40">
        <v>46158</v>
      </c>
      <c r="L1918" s="39">
        <v>3</v>
      </c>
    </row>
    <row r="1919" spans="10:12">
      <c r="J1919" s="25" t="s">
        <v>78</v>
      </c>
      <c r="K1919" s="32">
        <v>46158</v>
      </c>
      <c r="L1919" s="25">
        <v>2</v>
      </c>
    </row>
    <row r="1920" spans="10:12">
      <c r="J1920" s="39" t="s">
        <v>18</v>
      </c>
      <c r="K1920" s="40">
        <v>46158</v>
      </c>
      <c r="L1920" s="39">
        <v>18</v>
      </c>
    </row>
    <row r="1921" spans="10:12">
      <c r="J1921" s="25" t="s">
        <v>23</v>
      </c>
      <c r="K1921" s="32">
        <v>46159</v>
      </c>
      <c r="L1921" s="25">
        <v>11</v>
      </c>
    </row>
    <row r="1922" spans="10:12">
      <c r="J1922" s="39" t="s">
        <v>90</v>
      </c>
      <c r="K1922" s="40">
        <v>46159</v>
      </c>
      <c r="L1922" s="39">
        <v>11</v>
      </c>
    </row>
    <row r="1923" spans="10:12">
      <c r="J1923" s="25" t="s">
        <v>11</v>
      </c>
      <c r="K1923" s="32">
        <v>46159</v>
      </c>
      <c r="L1923" s="25">
        <v>11</v>
      </c>
    </row>
    <row r="1924" spans="10:12">
      <c r="J1924" s="39" t="s">
        <v>88</v>
      </c>
      <c r="K1924" s="40">
        <v>46159</v>
      </c>
      <c r="L1924" s="39">
        <v>10</v>
      </c>
    </row>
    <row r="1925" spans="10:12">
      <c r="J1925" s="25" t="s">
        <v>96</v>
      </c>
      <c r="K1925" s="32">
        <v>46159</v>
      </c>
      <c r="L1925" s="25">
        <v>12</v>
      </c>
    </row>
    <row r="1926" spans="10:12">
      <c r="J1926" s="39" t="s">
        <v>94</v>
      </c>
      <c r="K1926" s="40">
        <v>46159</v>
      </c>
      <c r="L1926" s="39">
        <v>13</v>
      </c>
    </row>
    <row r="1927" spans="10:12">
      <c r="J1927" s="25" t="s">
        <v>49</v>
      </c>
      <c r="K1927" s="32">
        <v>46159</v>
      </c>
      <c r="L1927" s="25">
        <v>21</v>
      </c>
    </row>
    <row r="1928" spans="10:12">
      <c r="J1928" s="39" t="s">
        <v>43</v>
      </c>
      <c r="K1928" s="40">
        <v>46159</v>
      </c>
      <c r="L1928" s="39">
        <v>4</v>
      </c>
    </row>
    <row r="1929" spans="10:12">
      <c r="J1929" s="25" t="s">
        <v>88</v>
      </c>
      <c r="K1929" s="32">
        <v>46159</v>
      </c>
      <c r="L1929" s="25">
        <v>4</v>
      </c>
    </row>
    <row r="1930" spans="10:12">
      <c r="J1930" s="39" t="s">
        <v>40</v>
      </c>
      <c r="K1930" s="40">
        <v>46159</v>
      </c>
      <c r="L1930" s="39">
        <v>6</v>
      </c>
    </row>
    <row r="1931" spans="10:12">
      <c r="J1931" s="25" t="s">
        <v>70</v>
      </c>
      <c r="K1931" s="32">
        <v>46159</v>
      </c>
      <c r="L1931" s="25">
        <v>15</v>
      </c>
    </row>
    <row r="1932" spans="10:12">
      <c r="J1932" s="39" t="s">
        <v>84</v>
      </c>
      <c r="K1932" s="40">
        <v>46159</v>
      </c>
      <c r="L1932" s="39">
        <v>10</v>
      </c>
    </row>
    <row r="1933" spans="10:12">
      <c r="J1933" s="25" t="s">
        <v>11</v>
      </c>
      <c r="K1933" s="32">
        <v>46159</v>
      </c>
      <c r="L1933" s="25">
        <v>34</v>
      </c>
    </row>
    <row r="1934" spans="10:12">
      <c r="J1934" s="39" t="s">
        <v>92</v>
      </c>
      <c r="K1934" s="40">
        <v>46159</v>
      </c>
      <c r="L1934" s="39">
        <v>5</v>
      </c>
    </row>
    <row r="1935" spans="10:12">
      <c r="J1935" s="25" t="s">
        <v>80</v>
      </c>
      <c r="K1935" s="32">
        <v>46160</v>
      </c>
      <c r="L1935" s="25">
        <v>11</v>
      </c>
    </row>
    <row r="1936" spans="10:12">
      <c r="J1936" s="39" t="s">
        <v>80</v>
      </c>
      <c r="K1936" s="40">
        <v>46160</v>
      </c>
      <c r="L1936" s="39">
        <v>7</v>
      </c>
    </row>
    <row r="1937" spans="10:12">
      <c r="J1937" s="25" t="s">
        <v>63</v>
      </c>
      <c r="K1937" s="32">
        <v>46160</v>
      </c>
      <c r="L1937" s="25">
        <v>4</v>
      </c>
    </row>
    <row r="1938" spans="10:12">
      <c r="J1938" s="39" t="s">
        <v>61</v>
      </c>
      <c r="K1938" s="40">
        <v>46160</v>
      </c>
      <c r="L1938" s="39">
        <v>3</v>
      </c>
    </row>
    <row r="1939" spans="10:12">
      <c r="J1939" s="25" t="s">
        <v>90</v>
      </c>
      <c r="K1939" s="32">
        <v>46160</v>
      </c>
      <c r="L1939" s="25">
        <v>2</v>
      </c>
    </row>
    <row r="1940" spans="10:12">
      <c r="J1940" s="39" t="s">
        <v>92</v>
      </c>
      <c r="K1940" s="40">
        <v>46160</v>
      </c>
      <c r="L1940" s="39">
        <v>9</v>
      </c>
    </row>
    <row r="1941" spans="10:12">
      <c r="J1941" s="25" t="s">
        <v>80</v>
      </c>
      <c r="K1941" s="32">
        <v>46160</v>
      </c>
      <c r="L1941" s="25">
        <v>8</v>
      </c>
    </row>
    <row r="1942" spans="10:12">
      <c r="J1942" s="39" t="s">
        <v>53</v>
      </c>
      <c r="K1942" s="40">
        <v>46161</v>
      </c>
      <c r="L1942" s="39">
        <v>2</v>
      </c>
    </row>
    <row r="1943" spans="10:12">
      <c r="J1943" s="25" t="s">
        <v>94</v>
      </c>
      <c r="K1943" s="32">
        <v>46161</v>
      </c>
      <c r="L1943" s="25">
        <v>12</v>
      </c>
    </row>
    <row r="1944" spans="10:12">
      <c r="J1944" s="39" t="s">
        <v>96</v>
      </c>
      <c r="K1944" s="40">
        <v>46161</v>
      </c>
      <c r="L1944" s="39">
        <v>12</v>
      </c>
    </row>
    <row r="1945" spans="10:12">
      <c r="J1945" s="25" t="s">
        <v>55</v>
      </c>
      <c r="K1945" s="32">
        <v>46161</v>
      </c>
      <c r="L1945" s="25">
        <v>7</v>
      </c>
    </row>
    <row r="1946" spans="10:12">
      <c r="J1946" s="39" t="s">
        <v>49</v>
      </c>
      <c r="K1946" s="40">
        <v>46161</v>
      </c>
      <c r="L1946" s="39">
        <v>6</v>
      </c>
    </row>
    <row r="1947" spans="10:12">
      <c r="J1947" s="25" t="s">
        <v>61</v>
      </c>
      <c r="K1947" s="32">
        <v>46161</v>
      </c>
      <c r="L1947" s="25">
        <v>10</v>
      </c>
    </row>
    <row r="1948" spans="10:12">
      <c r="J1948" s="39" t="s">
        <v>49</v>
      </c>
      <c r="K1948" s="40">
        <v>46161</v>
      </c>
      <c r="L1948" s="39">
        <v>5</v>
      </c>
    </row>
    <row r="1949" spans="10:12">
      <c r="J1949" s="25" t="s">
        <v>92</v>
      </c>
      <c r="K1949" s="32">
        <v>46161</v>
      </c>
      <c r="L1949" s="25">
        <v>12</v>
      </c>
    </row>
    <row r="1950" spans="10:12">
      <c r="J1950" s="39" t="s">
        <v>90</v>
      </c>
      <c r="K1950" s="40">
        <v>46161</v>
      </c>
      <c r="L1950" s="39">
        <v>2</v>
      </c>
    </row>
    <row r="1951" spans="10:12">
      <c r="J1951" s="25" t="s">
        <v>67</v>
      </c>
      <c r="K1951" s="32">
        <v>46162</v>
      </c>
      <c r="L1951" s="25">
        <v>6</v>
      </c>
    </row>
    <row r="1952" spans="10:12">
      <c r="J1952" s="39" t="s">
        <v>51</v>
      </c>
      <c r="K1952" s="40">
        <v>46162</v>
      </c>
      <c r="L1952" s="39">
        <v>26</v>
      </c>
    </row>
    <row r="1953" spans="10:12">
      <c r="J1953" s="25" t="s">
        <v>55</v>
      </c>
      <c r="K1953" s="32">
        <v>46162</v>
      </c>
      <c r="L1953" s="25">
        <v>10</v>
      </c>
    </row>
    <row r="1954" spans="10:12">
      <c r="J1954" s="39" t="s">
        <v>61</v>
      </c>
      <c r="K1954" s="40">
        <v>46162</v>
      </c>
      <c r="L1954" s="39">
        <v>1</v>
      </c>
    </row>
    <row r="1955" spans="10:12">
      <c r="J1955" s="25" t="s">
        <v>43</v>
      </c>
      <c r="K1955" s="32">
        <v>46162</v>
      </c>
      <c r="L1955" s="25">
        <v>14</v>
      </c>
    </row>
    <row r="1956" spans="10:12">
      <c r="J1956" s="39" t="s">
        <v>61</v>
      </c>
      <c r="K1956" s="40">
        <v>46162</v>
      </c>
      <c r="L1956" s="39">
        <v>10</v>
      </c>
    </row>
    <row r="1957" spans="10:12">
      <c r="J1957" s="25" t="s">
        <v>67</v>
      </c>
      <c r="K1957" s="32">
        <v>46162</v>
      </c>
      <c r="L1957" s="25">
        <v>7</v>
      </c>
    </row>
    <row r="1958" spans="10:12">
      <c r="J1958" s="39" t="s">
        <v>65</v>
      </c>
      <c r="K1958" s="40">
        <v>46162</v>
      </c>
      <c r="L1958" s="39">
        <v>5</v>
      </c>
    </row>
    <row r="1959" spans="10:12">
      <c r="J1959" s="25" t="s">
        <v>76</v>
      </c>
      <c r="K1959" s="32">
        <v>46162</v>
      </c>
      <c r="L1959" s="25">
        <v>11</v>
      </c>
    </row>
    <row r="1960" spans="10:12">
      <c r="J1960" s="39" t="s">
        <v>43</v>
      </c>
      <c r="K1960" s="40">
        <v>46163</v>
      </c>
      <c r="L1960" s="39">
        <v>5</v>
      </c>
    </row>
    <row r="1961" spans="10:12">
      <c r="J1961" s="25" t="s">
        <v>72</v>
      </c>
      <c r="K1961" s="32">
        <v>46163</v>
      </c>
      <c r="L1961" s="25">
        <v>1</v>
      </c>
    </row>
    <row r="1962" spans="10:12">
      <c r="J1962" s="39" t="s">
        <v>40</v>
      </c>
      <c r="K1962" s="40">
        <v>46163</v>
      </c>
      <c r="L1962" s="39">
        <v>17</v>
      </c>
    </row>
    <row r="1963" spans="10:12">
      <c r="J1963" s="25" t="s">
        <v>78</v>
      </c>
      <c r="K1963" s="32">
        <v>46163</v>
      </c>
      <c r="L1963" s="25">
        <v>9</v>
      </c>
    </row>
    <row r="1964" spans="10:12">
      <c r="J1964" s="39" t="s">
        <v>98</v>
      </c>
      <c r="K1964" s="40">
        <v>46163</v>
      </c>
      <c r="L1964" s="39">
        <v>15</v>
      </c>
    </row>
    <row r="1965" spans="10:12">
      <c r="J1965" s="25" t="s">
        <v>28</v>
      </c>
      <c r="K1965" s="32">
        <v>46163</v>
      </c>
      <c r="L1965" s="25">
        <v>5</v>
      </c>
    </row>
    <row r="1966" spans="10:12">
      <c r="J1966" s="39" t="s">
        <v>46</v>
      </c>
      <c r="K1966" s="40">
        <v>46163</v>
      </c>
      <c r="L1966" s="39">
        <v>10</v>
      </c>
    </row>
    <row r="1967" spans="10:12">
      <c r="J1967" s="25" t="s">
        <v>51</v>
      </c>
      <c r="K1967" s="32">
        <v>46163</v>
      </c>
      <c r="L1967" s="25">
        <v>1</v>
      </c>
    </row>
    <row r="1968" spans="10:12">
      <c r="J1968" s="39" t="s">
        <v>82</v>
      </c>
      <c r="K1968" s="40">
        <v>46163</v>
      </c>
      <c r="L1968" s="39">
        <v>6</v>
      </c>
    </row>
    <row r="1969" spans="10:12">
      <c r="J1969" s="25" t="s">
        <v>23</v>
      </c>
      <c r="K1969" s="32">
        <v>46163</v>
      </c>
      <c r="L1969" s="25">
        <v>10</v>
      </c>
    </row>
    <row r="1970" spans="10:12">
      <c r="J1970" s="39" t="s">
        <v>76</v>
      </c>
      <c r="K1970" s="40">
        <v>46163</v>
      </c>
      <c r="L1970" s="39">
        <v>5</v>
      </c>
    </row>
    <row r="1971" spans="10:12">
      <c r="J1971" s="25" t="s">
        <v>94</v>
      </c>
      <c r="K1971" s="32">
        <v>46163</v>
      </c>
      <c r="L1971" s="25">
        <v>9</v>
      </c>
    </row>
    <row r="1972" spans="10:12">
      <c r="J1972" s="39" t="s">
        <v>28</v>
      </c>
      <c r="K1972" s="40">
        <v>46163</v>
      </c>
      <c r="L1972" s="39">
        <v>14</v>
      </c>
    </row>
    <row r="1973" spans="10:12">
      <c r="J1973" s="25" t="s">
        <v>35</v>
      </c>
      <c r="K1973" s="32">
        <v>46163</v>
      </c>
      <c r="L1973" s="25">
        <v>8</v>
      </c>
    </row>
    <row r="1974" spans="10:12">
      <c r="J1974" s="39" t="s">
        <v>74</v>
      </c>
      <c r="K1974" s="40">
        <v>46163</v>
      </c>
      <c r="L1974" s="39">
        <v>4</v>
      </c>
    </row>
    <row r="1975" spans="10:12">
      <c r="J1975" s="25" t="s">
        <v>58</v>
      </c>
      <c r="K1975" s="32">
        <v>46163</v>
      </c>
      <c r="L1975" s="25">
        <v>8</v>
      </c>
    </row>
    <row r="1976" spans="10:12">
      <c r="J1976" s="39" t="s">
        <v>18</v>
      </c>
      <c r="K1976" s="40">
        <v>46164</v>
      </c>
      <c r="L1976" s="39">
        <v>11</v>
      </c>
    </row>
    <row r="1977" spans="10:12">
      <c r="J1977" s="25" t="s">
        <v>80</v>
      </c>
      <c r="K1977" s="32">
        <v>46164</v>
      </c>
      <c r="L1977" s="25">
        <v>8</v>
      </c>
    </row>
    <row r="1978" spans="10:12">
      <c r="J1978" s="39" t="s">
        <v>84</v>
      </c>
      <c r="K1978" s="40">
        <v>46164</v>
      </c>
      <c r="L1978" s="39">
        <v>21</v>
      </c>
    </row>
    <row r="1979" spans="10:12">
      <c r="J1979" s="25" t="s">
        <v>23</v>
      </c>
      <c r="K1979" s="32">
        <v>46164</v>
      </c>
      <c r="L1979" s="25">
        <v>16</v>
      </c>
    </row>
    <row r="1980" spans="10:12">
      <c r="J1980" s="39" t="s">
        <v>65</v>
      </c>
      <c r="K1980" s="40">
        <v>46164</v>
      </c>
      <c r="L1980" s="39">
        <v>3</v>
      </c>
    </row>
    <row r="1981" spans="10:12">
      <c r="J1981" s="25" t="s">
        <v>18</v>
      </c>
      <c r="K1981" s="32">
        <v>46164</v>
      </c>
      <c r="L1981" s="25">
        <v>3</v>
      </c>
    </row>
    <row r="1982" spans="10:12">
      <c r="J1982" s="39" t="s">
        <v>43</v>
      </c>
      <c r="K1982" s="40">
        <v>46164</v>
      </c>
      <c r="L1982" s="39">
        <v>1</v>
      </c>
    </row>
    <row r="1983" spans="10:12">
      <c r="J1983" s="25" t="s">
        <v>40</v>
      </c>
      <c r="K1983" s="32">
        <v>46164</v>
      </c>
      <c r="L1983" s="25">
        <v>10</v>
      </c>
    </row>
    <row r="1984" spans="10:12">
      <c r="J1984" s="39" t="s">
        <v>65</v>
      </c>
      <c r="K1984" s="40">
        <v>46164</v>
      </c>
      <c r="L1984" s="39">
        <v>12</v>
      </c>
    </row>
    <row r="1985" spans="10:12">
      <c r="J1985" s="25" t="s">
        <v>84</v>
      </c>
      <c r="K1985" s="32">
        <v>46164</v>
      </c>
      <c r="L1985" s="25">
        <v>13</v>
      </c>
    </row>
    <row r="1986" spans="10:12">
      <c r="J1986" s="39" t="s">
        <v>98</v>
      </c>
      <c r="K1986" s="40">
        <v>46164</v>
      </c>
      <c r="L1986" s="39">
        <v>3</v>
      </c>
    </row>
    <row r="1987" spans="10:12">
      <c r="J1987" s="25" t="s">
        <v>67</v>
      </c>
      <c r="K1987" s="32">
        <v>46164</v>
      </c>
      <c r="L1987" s="25">
        <v>17</v>
      </c>
    </row>
    <row r="1988" spans="10:12">
      <c r="J1988" s="39" t="s">
        <v>28</v>
      </c>
      <c r="K1988" s="40">
        <v>46164</v>
      </c>
      <c r="L1988" s="39">
        <v>1</v>
      </c>
    </row>
    <row r="1989" spans="10:12">
      <c r="J1989" s="25" t="s">
        <v>67</v>
      </c>
      <c r="K1989" s="32">
        <v>46164</v>
      </c>
      <c r="L1989" s="25">
        <v>4</v>
      </c>
    </row>
    <row r="1990" spans="10:12">
      <c r="J1990" s="39" t="s">
        <v>55</v>
      </c>
      <c r="K1990" s="40">
        <v>46164</v>
      </c>
      <c r="L1990" s="39">
        <v>23</v>
      </c>
    </row>
    <row r="1991" spans="10:12">
      <c r="J1991" s="25" t="s">
        <v>18</v>
      </c>
      <c r="K1991" s="32">
        <v>46164</v>
      </c>
      <c r="L1991" s="25">
        <v>14</v>
      </c>
    </row>
    <row r="1992" spans="10:12">
      <c r="J1992" s="39" t="s">
        <v>80</v>
      </c>
      <c r="K1992" s="40">
        <v>46165</v>
      </c>
      <c r="L1992" s="39">
        <v>1</v>
      </c>
    </row>
    <row r="1993" spans="10:12">
      <c r="J1993" s="25" t="s">
        <v>31</v>
      </c>
      <c r="K1993" s="32">
        <v>46165</v>
      </c>
      <c r="L1993" s="25">
        <v>25</v>
      </c>
    </row>
    <row r="1994" spans="10:12">
      <c r="J1994" s="39" t="s">
        <v>67</v>
      </c>
      <c r="K1994" s="40">
        <v>46165</v>
      </c>
      <c r="L1994" s="39">
        <v>6</v>
      </c>
    </row>
    <row r="1995" spans="10:12">
      <c r="J1995" s="25" t="s">
        <v>61</v>
      </c>
      <c r="K1995" s="32">
        <v>46165</v>
      </c>
      <c r="L1995" s="25">
        <v>9</v>
      </c>
    </row>
    <row r="1996" spans="10:12">
      <c r="J1996" s="39" t="s">
        <v>38</v>
      </c>
      <c r="K1996" s="40">
        <v>46165</v>
      </c>
      <c r="L1996" s="39">
        <v>25</v>
      </c>
    </row>
    <row r="1997" spans="10:12">
      <c r="J1997" s="25" t="s">
        <v>40</v>
      </c>
      <c r="K1997" s="32">
        <v>46165</v>
      </c>
      <c r="L1997" s="25">
        <v>16</v>
      </c>
    </row>
    <row r="1998" spans="10:12">
      <c r="J1998" s="39" t="s">
        <v>35</v>
      </c>
      <c r="K1998" s="40">
        <v>46165</v>
      </c>
      <c r="L1998" s="39">
        <v>8</v>
      </c>
    </row>
    <row r="1999" spans="10:12">
      <c r="J1999" s="25" t="s">
        <v>43</v>
      </c>
      <c r="K1999" s="32">
        <v>46165</v>
      </c>
      <c r="L1999" s="25">
        <v>21</v>
      </c>
    </row>
    <row r="2000" spans="10:12">
      <c r="J2000" s="39" t="s">
        <v>28</v>
      </c>
      <c r="K2000" s="40">
        <v>46165</v>
      </c>
      <c r="L2000" s="39">
        <v>9</v>
      </c>
    </row>
    <row r="2001" spans="10:12">
      <c r="J2001" s="25" t="s">
        <v>55</v>
      </c>
      <c r="K2001" s="32">
        <v>46165</v>
      </c>
      <c r="L2001" s="25">
        <v>6</v>
      </c>
    </row>
    <row r="2002" spans="10:12">
      <c r="J2002" s="39" t="s">
        <v>74</v>
      </c>
      <c r="K2002" s="40">
        <v>46165</v>
      </c>
      <c r="L2002" s="39">
        <v>1</v>
      </c>
    </row>
    <row r="2003" spans="10:12">
      <c r="J2003" s="25" t="s">
        <v>49</v>
      </c>
      <c r="K2003" s="32">
        <v>46165</v>
      </c>
      <c r="L2003" s="25">
        <v>5</v>
      </c>
    </row>
    <row r="2004" spans="10:12">
      <c r="J2004" s="39" t="s">
        <v>72</v>
      </c>
      <c r="K2004" s="40">
        <v>46165</v>
      </c>
      <c r="L2004" s="39">
        <v>19</v>
      </c>
    </row>
    <row r="2005" spans="10:12">
      <c r="J2005" s="25" t="s">
        <v>84</v>
      </c>
      <c r="K2005" s="32">
        <v>46165</v>
      </c>
      <c r="L2005" s="25">
        <v>23</v>
      </c>
    </row>
  </sheetData>
  <conditionalFormatting sqref="F8:F42">
    <cfRule type="iconSet" priority="4">
      <iconSet iconSet="3Arrows">
        <cfvo type="percent" val="0"/>
        <cfvo type="percent" val="33"/>
        <cfvo type="percent" val="67"/>
      </iconSet>
    </cfRule>
  </conditionalFormatting>
  <conditionalFormatting sqref="F8:F42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F8:F42">
    <cfRule type="containsText" dxfId="7" priority="2" operator="containsText" text="Target Achieved">
      <formula>NOT(ISERROR(SEARCH("Target Achieved",F8)))</formula>
    </cfRule>
  </conditionalFormatting>
  <conditionalFormatting sqref="F8:F42">
    <cfRule type="containsText" dxfId="6" priority="1" operator="containsText" text="Behind Target">
      <formula>NOT(ISERROR(SEARCH("Behind Target",F8)))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Q37"/>
  <sheetViews>
    <sheetView topLeftCell="C1" workbookViewId="0">
      <selection activeCell="J3" sqref="J3"/>
    </sheetView>
  </sheetViews>
  <sheetFormatPr defaultRowHeight="15"/>
  <cols>
    <col min="2" max="2" width="17.28515625" bestFit="1" customWidth="1"/>
    <col min="4" max="4" width="17.7109375" bestFit="1" customWidth="1"/>
    <col min="5" max="5" width="12" bestFit="1" customWidth="1"/>
    <col min="10" max="10" width="19.85546875" bestFit="1" customWidth="1"/>
    <col min="13" max="13" width="21.7109375" bestFit="1" customWidth="1"/>
    <col min="14" max="14" width="11.42578125" bestFit="1" customWidth="1"/>
    <col min="15" max="15" width="19" bestFit="1" customWidth="1"/>
  </cols>
  <sheetData>
    <row r="1" spans="2:17">
      <c r="J1" s="1" t="s">
        <v>1</v>
      </c>
      <c r="K1" s="2" t="s">
        <v>2</v>
      </c>
      <c r="L1" s="2" t="s">
        <v>3</v>
      </c>
      <c r="M1" s="2" t="s">
        <v>4</v>
      </c>
      <c r="N1" s="2" t="s">
        <v>5</v>
      </c>
      <c r="O1" s="2" t="s">
        <v>6</v>
      </c>
      <c r="P1" s="2" t="s">
        <v>7</v>
      </c>
      <c r="Q1" s="2" t="s">
        <v>8</v>
      </c>
    </row>
    <row r="2" spans="2:17">
      <c r="B2" s="6" t="s">
        <v>627</v>
      </c>
      <c r="D2" t="s">
        <v>628</v>
      </c>
      <c r="E2" t="s">
        <v>629</v>
      </c>
      <c r="J2" s="3" t="s">
        <v>11</v>
      </c>
      <c r="K2" s="4" t="s">
        <v>12</v>
      </c>
      <c r="L2" s="4" t="s">
        <v>13</v>
      </c>
      <c r="M2" s="4" t="s">
        <v>14</v>
      </c>
      <c r="N2" s="5">
        <v>44724</v>
      </c>
      <c r="O2" s="4" t="s">
        <v>15</v>
      </c>
      <c r="P2" s="4">
        <v>51300</v>
      </c>
      <c r="Q2" s="4">
        <v>26</v>
      </c>
    </row>
    <row r="3" spans="2:17">
      <c r="B3" cm="1">
        <f t="array" ref="B3:B37">P2:P36/100</f>
        <v>513</v>
      </c>
      <c r="D3" t="str" cm="1">
        <f t="array" ref="D3:D37">LEFT(J2:J36,1)</f>
        <v>B</v>
      </c>
      <c r="E3" t="str" cm="1">
        <f t="array" ref="E3:E37">IF(P2:P36&gt;50000,"yes","No")</f>
        <v>yes</v>
      </c>
      <c r="J3" s="3" t="s">
        <v>18</v>
      </c>
      <c r="K3" s="4" t="s">
        <v>19</v>
      </c>
      <c r="L3" s="4" t="s">
        <v>20</v>
      </c>
      <c r="M3" s="4" t="s">
        <v>21</v>
      </c>
      <c r="N3" s="5">
        <v>44975</v>
      </c>
      <c r="O3" s="4" t="s">
        <v>22</v>
      </c>
      <c r="P3" s="4">
        <v>38300</v>
      </c>
      <c r="Q3" s="4">
        <v>33</v>
      </c>
    </row>
    <row r="4" spans="2:17">
      <c r="B4">
        <v>383</v>
      </c>
      <c r="D4" t="str">
        <v>L</v>
      </c>
      <c r="E4" t="str">
        <v>No</v>
      </c>
      <c r="J4" s="3" t="s">
        <v>23</v>
      </c>
      <c r="K4" s="4" t="s">
        <v>24</v>
      </c>
      <c r="L4" s="4" t="s">
        <v>13</v>
      </c>
      <c r="M4" s="4" t="s">
        <v>25</v>
      </c>
      <c r="N4" s="5">
        <v>45540</v>
      </c>
      <c r="O4" s="4" t="s">
        <v>26</v>
      </c>
      <c r="P4" s="4">
        <v>31400</v>
      </c>
      <c r="Q4" s="4">
        <v>34</v>
      </c>
    </row>
    <row r="5" spans="2:17">
      <c r="B5">
        <v>314</v>
      </c>
      <c r="D5" t="str">
        <v>F</v>
      </c>
      <c r="E5" t="str">
        <v>No</v>
      </c>
      <c r="J5" s="3" t="s">
        <v>28</v>
      </c>
      <c r="K5" s="4" t="s">
        <v>29</v>
      </c>
      <c r="L5" s="4" t="s">
        <v>13</v>
      </c>
      <c r="M5" s="4" t="s">
        <v>14</v>
      </c>
      <c r="N5" s="5">
        <v>44520</v>
      </c>
      <c r="O5" s="4" t="s">
        <v>30</v>
      </c>
      <c r="P5" s="4">
        <v>60700</v>
      </c>
      <c r="Q5" s="4">
        <v>30</v>
      </c>
    </row>
    <row r="6" spans="2:17">
      <c r="B6">
        <v>607</v>
      </c>
      <c r="D6" t="str">
        <v>D</v>
      </c>
      <c r="E6" t="str">
        <v>yes</v>
      </c>
      <c r="J6" s="3" t="s">
        <v>31</v>
      </c>
      <c r="K6" s="4" t="s">
        <v>32</v>
      </c>
      <c r="L6" s="4" t="s">
        <v>20</v>
      </c>
      <c r="M6" s="4" t="s">
        <v>33</v>
      </c>
      <c r="N6" s="5">
        <v>43929</v>
      </c>
      <c r="O6" s="4" t="s">
        <v>34</v>
      </c>
      <c r="P6" s="4">
        <v>77300</v>
      </c>
      <c r="Q6" s="4">
        <v>30</v>
      </c>
    </row>
    <row r="7" spans="2:17">
      <c r="B7">
        <v>773</v>
      </c>
      <c r="D7" t="str">
        <v>N</v>
      </c>
      <c r="E7" t="str">
        <v>yes</v>
      </c>
      <c r="J7" s="3" t="s">
        <v>35</v>
      </c>
      <c r="K7" s="4" t="s">
        <v>36</v>
      </c>
      <c r="L7" s="4" t="s">
        <v>20</v>
      </c>
      <c r="M7" s="4" t="s">
        <v>14</v>
      </c>
      <c r="N7" s="5">
        <v>45730</v>
      </c>
      <c r="O7" s="4" t="s">
        <v>37</v>
      </c>
      <c r="P7" s="4">
        <v>49800</v>
      </c>
      <c r="Q7" s="4">
        <v>38</v>
      </c>
    </row>
    <row r="8" spans="2:17">
      <c r="B8">
        <v>498</v>
      </c>
      <c r="D8" t="str">
        <v>R</v>
      </c>
      <c r="E8" t="str">
        <v>No</v>
      </c>
      <c r="J8" s="3" t="s">
        <v>38</v>
      </c>
      <c r="K8" s="4" t="s">
        <v>39</v>
      </c>
      <c r="L8" s="4" t="s">
        <v>13</v>
      </c>
      <c r="M8" s="4" t="s">
        <v>25</v>
      </c>
      <c r="N8" s="5">
        <v>45293</v>
      </c>
      <c r="O8" s="4" t="s">
        <v>22</v>
      </c>
      <c r="P8" s="4">
        <v>33000</v>
      </c>
      <c r="Q8" s="4">
        <v>32</v>
      </c>
    </row>
    <row r="9" spans="2:17">
      <c r="B9">
        <v>330</v>
      </c>
      <c r="D9" t="str">
        <v>J</v>
      </c>
      <c r="E9" t="str">
        <v>No</v>
      </c>
      <c r="J9" s="3" t="s">
        <v>40</v>
      </c>
      <c r="K9" s="4" t="s">
        <v>41</v>
      </c>
      <c r="L9" s="4" t="s">
        <v>20</v>
      </c>
      <c r="M9" s="4" t="s">
        <v>21</v>
      </c>
      <c r="N9" s="5">
        <v>44761</v>
      </c>
      <c r="O9" s="4" t="s">
        <v>42</v>
      </c>
      <c r="P9" s="4">
        <v>41900</v>
      </c>
      <c r="Q9" s="4">
        <v>36</v>
      </c>
    </row>
    <row r="10" spans="2:17">
      <c r="B10">
        <v>419</v>
      </c>
      <c r="D10" t="str">
        <v>G</v>
      </c>
      <c r="E10" t="str">
        <v>No</v>
      </c>
      <c r="J10" s="3" t="s">
        <v>43</v>
      </c>
      <c r="K10" s="4" t="s">
        <v>44</v>
      </c>
      <c r="L10" s="4" t="s">
        <v>13</v>
      </c>
      <c r="M10" s="4" t="s">
        <v>14</v>
      </c>
      <c r="N10" s="5">
        <v>45240</v>
      </c>
      <c r="O10" s="4" t="s">
        <v>45</v>
      </c>
      <c r="P10" s="4">
        <v>58100</v>
      </c>
      <c r="Q10" s="4">
        <v>31</v>
      </c>
    </row>
    <row r="11" spans="2:17">
      <c r="B11">
        <v>581</v>
      </c>
      <c r="D11" t="str">
        <v>R</v>
      </c>
      <c r="E11" t="str">
        <v>yes</v>
      </c>
      <c r="J11" s="3" t="s">
        <v>46</v>
      </c>
      <c r="K11" s="4" t="s">
        <v>47</v>
      </c>
      <c r="L11" s="4" t="s">
        <v>13</v>
      </c>
      <c r="M11" s="4" t="s">
        <v>33</v>
      </c>
      <c r="N11" s="5">
        <v>44372</v>
      </c>
      <c r="O11" s="4" t="s">
        <v>48</v>
      </c>
      <c r="P11" s="4">
        <v>82900</v>
      </c>
      <c r="Q11" s="4">
        <v>31</v>
      </c>
    </row>
    <row r="12" spans="2:17">
      <c r="B12">
        <v>829</v>
      </c>
      <c r="D12" t="str">
        <v>A</v>
      </c>
      <c r="E12" t="str">
        <v>yes</v>
      </c>
      <c r="J12" s="3" t="s">
        <v>49</v>
      </c>
      <c r="K12" s="4" t="s">
        <v>50</v>
      </c>
      <c r="L12" s="4" t="s">
        <v>13</v>
      </c>
      <c r="M12" s="4" t="s">
        <v>25</v>
      </c>
      <c r="N12" s="5">
        <v>45508</v>
      </c>
      <c r="O12" s="4" t="s">
        <v>26</v>
      </c>
      <c r="P12" s="4">
        <v>28900</v>
      </c>
      <c r="Q12" s="4">
        <v>30</v>
      </c>
    </row>
    <row r="13" spans="2:17">
      <c r="B13">
        <v>289</v>
      </c>
      <c r="D13" t="str">
        <v>H</v>
      </c>
      <c r="E13" t="str">
        <v>No</v>
      </c>
      <c r="J13" s="3" t="s">
        <v>51</v>
      </c>
      <c r="K13" s="4" t="s">
        <v>52</v>
      </c>
      <c r="L13" s="4" t="s">
        <v>13</v>
      </c>
      <c r="M13" s="4" t="s">
        <v>21</v>
      </c>
      <c r="N13" s="5">
        <v>44609</v>
      </c>
      <c r="O13" s="4" t="s">
        <v>22</v>
      </c>
      <c r="P13" s="4">
        <v>37300</v>
      </c>
      <c r="Q13" s="4">
        <v>35</v>
      </c>
    </row>
    <row r="14" spans="2:17">
      <c r="B14">
        <v>373</v>
      </c>
      <c r="D14" t="str">
        <v>J</v>
      </c>
      <c r="E14" t="str">
        <v>No</v>
      </c>
      <c r="J14" s="3" t="s">
        <v>53</v>
      </c>
      <c r="K14" s="4" t="s">
        <v>54</v>
      </c>
      <c r="L14" s="4" t="s">
        <v>13</v>
      </c>
      <c r="M14" s="4" t="s">
        <v>14</v>
      </c>
      <c r="N14" s="5">
        <v>45229</v>
      </c>
      <c r="O14" s="4" t="s">
        <v>15</v>
      </c>
      <c r="P14" s="4">
        <v>52700</v>
      </c>
      <c r="Q14" s="4">
        <v>29</v>
      </c>
    </row>
    <row r="15" spans="2:17">
      <c r="B15">
        <v>527</v>
      </c>
      <c r="D15" t="str">
        <v>W</v>
      </c>
      <c r="E15" t="str">
        <v>yes</v>
      </c>
      <c r="J15" s="3" t="s">
        <v>55</v>
      </c>
      <c r="K15" s="4" t="s">
        <v>56</v>
      </c>
      <c r="L15" s="4" t="s">
        <v>20</v>
      </c>
      <c r="M15" s="4" t="s">
        <v>33</v>
      </c>
      <c r="N15" s="5">
        <v>44086</v>
      </c>
      <c r="O15" s="4" t="s">
        <v>57</v>
      </c>
      <c r="P15" s="4">
        <v>74700</v>
      </c>
      <c r="Q15" s="4">
        <v>52</v>
      </c>
    </row>
    <row r="16" spans="2:17">
      <c r="B16">
        <v>747</v>
      </c>
      <c r="D16" t="str">
        <v>F</v>
      </c>
      <c r="E16" t="str">
        <v>yes</v>
      </c>
      <c r="J16" s="3" t="s">
        <v>58</v>
      </c>
      <c r="K16" s="4" t="s">
        <v>59</v>
      </c>
      <c r="L16" s="4" t="s">
        <v>13</v>
      </c>
      <c r="M16" s="4" t="s">
        <v>60</v>
      </c>
      <c r="N16" s="5">
        <v>44260</v>
      </c>
      <c r="O16" s="4" t="s">
        <v>45</v>
      </c>
      <c r="P16" s="4">
        <v>55600</v>
      </c>
      <c r="Q16" s="4">
        <v>35</v>
      </c>
    </row>
    <row r="17" spans="2:17">
      <c r="B17">
        <v>556</v>
      </c>
      <c r="D17" t="str">
        <v>U</v>
      </c>
      <c r="E17" t="str">
        <v>yes</v>
      </c>
      <c r="J17" s="3" t="s">
        <v>61</v>
      </c>
      <c r="K17" s="4" t="s">
        <v>62</v>
      </c>
      <c r="L17" s="4" t="s">
        <v>13</v>
      </c>
      <c r="M17" s="4" t="s">
        <v>25</v>
      </c>
      <c r="N17" s="5">
        <v>45433</v>
      </c>
      <c r="O17" s="4" t="s">
        <v>26</v>
      </c>
      <c r="P17" s="4">
        <v>32900</v>
      </c>
      <c r="Q17" s="4">
        <v>30</v>
      </c>
    </row>
    <row r="18" spans="2:17">
      <c r="B18">
        <v>329</v>
      </c>
      <c r="D18" t="str">
        <v>D</v>
      </c>
      <c r="E18" t="str">
        <v>No</v>
      </c>
      <c r="J18" s="3" t="s">
        <v>63</v>
      </c>
      <c r="K18" s="4" t="s">
        <v>64</v>
      </c>
      <c r="L18" s="4" t="s">
        <v>20</v>
      </c>
      <c r="M18" s="4" t="s">
        <v>21</v>
      </c>
      <c r="N18" s="5">
        <v>45146</v>
      </c>
      <c r="O18" s="4" t="s">
        <v>42</v>
      </c>
      <c r="P18" s="4">
        <v>41500</v>
      </c>
      <c r="Q18" s="4">
        <v>32</v>
      </c>
    </row>
    <row r="19" spans="2:17">
      <c r="B19">
        <v>415</v>
      </c>
      <c r="D19" t="str">
        <v>E</v>
      </c>
      <c r="E19" t="str">
        <v>No</v>
      </c>
      <c r="J19" s="3" t="s">
        <v>65</v>
      </c>
      <c r="K19" s="4" t="s">
        <v>66</v>
      </c>
      <c r="L19" s="4" t="s">
        <v>13</v>
      </c>
      <c r="M19" s="4" t="s">
        <v>60</v>
      </c>
      <c r="N19" s="5">
        <v>44888</v>
      </c>
      <c r="O19" s="4" t="s">
        <v>37</v>
      </c>
      <c r="P19" s="4">
        <v>49400</v>
      </c>
      <c r="Q19" s="4">
        <v>31</v>
      </c>
    </row>
    <row r="20" spans="2:17">
      <c r="B20">
        <v>494</v>
      </c>
      <c r="D20" t="str">
        <v>A</v>
      </c>
      <c r="E20" t="str">
        <v>No</v>
      </c>
      <c r="J20" s="3" t="s">
        <v>67</v>
      </c>
      <c r="K20" s="4" t="s">
        <v>68</v>
      </c>
      <c r="L20" s="4" t="s">
        <v>13</v>
      </c>
      <c r="M20" s="4" t="s">
        <v>69</v>
      </c>
      <c r="N20" s="5">
        <v>43661</v>
      </c>
      <c r="O20" s="4" t="s">
        <v>48</v>
      </c>
      <c r="P20" s="4">
        <v>82700</v>
      </c>
      <c r="Q20" s="4">
        <v>34</v>
      </c>
    </row>
    <row r="21" spans="2:17">
      <c r="B21">
        <v>827</v>
      </c>
      <c r="D21" t="str">
        <v>S</v>
      </c>
      <c r="E21" t="str">
        <v>yes</v>
      </c>
      <c r="J21" s="3" t="s">
        <v>70</v>
      </c>
      <c r="K21" s="4" t="s">
        <v>71</v>
      </c>
      <c r="L21" s="4" t="s">
        <v>20</v>
      </c>
      <c r="M21" s="4" t="s">
        <v>25</v>
      </c>
      <c r="N21" s="5">
        <v>45381</v>
      </c>
      <c r="O21" s="4" t="s">
        <v>22</v>
      </c>
      <c r="P21" s="4">
        <v>38200</v>
      </c>
      <c r="Q21" s="4">
        <v>31</v>
      </c>
    </row>
    <row r="22" spans="2:17">
      <c r="B22">
        <v>382</v>
      </c>
      <c r="D22" t="str">
        <v>A</v>
      </c>
      <c r="E22" t="str">
        <v>No</v>
      </c>
      <c r="J22" s="3" t="s">
        <v>72</v>
      </c>
      <c r="K22" s="4" t="s">
        <v>73</v>
      </c>
      <c r="L22" s="4" t="s">
        <v>13</v>
      </c>
      <c r="M22" s="4" t="s">
        <v>21</v>
      </c>
      <c r="N22" s="5">
        <v>44443</v>
      </c>
      <c r="O22" s="4" t="s">
        <v>26</v>
      </c>
      <c r="P22" s="4">
        <v>32600</v>
      </c>
      <c r="Q22" s="4">
        <v>32</v>
      </c>
    </row>
    <row r="23" spans="2:17">
      <c r="B23">
        <v>326</v>
      </c>
      <c r="D23" t="str">
        <v>R</v>
      </c>
      <c r="E23" t="str">
        <v>No</v>
      </c>
      <c r="J23" s="3" t="s">
        <v>74</v>
      </c>
      <c r="K23" s="4" t="s">
        <v>75</v>
      </c>
      <c r="L23" s="4" t="s">
        <v>13</v>
      </c>
      <c r="M23" s="4" t="s">
        <v>60</v>
      </c>
      <c r="N23" s="5">
        <v>44001</v>
      </c>
      <c r="O23" s="4" t="s">
        <v>34</v>
      </c>
      <c r="P23" s="4">
        <v>76800</v>
      </c>
      <c r="Q23" s="4">
        <v>33</v>
      </c>
    </row>
    <row r="24" spans="2:17">
      <c r="B24">
        <v>768</v>
      </c>
      <c r="D24" t="str">
        <v>M</v>
      </c>
      <c r="E24" t="str">
        <v>yes</v>
      </c>
      <c r="J24" s="3" t="s">
        <v>76</v>
      </c>
      <c r="K24" s="4" t="s">
        <v>77</v>
      </c>
      <c r="L24" s="4" t="s">
        <v>13</v>
      </c>
      <c r="M24" s="4" t="s">
        <v>69</v>
      </c>
      <c r="N24" s="5">
        <v>44933</v>
      </c>
      <c r="O24" s="4" t="s">
        <v>30</v>
      </c>
      <c r="P24" s="4">
        <v>62300</v>
      </c>
      <c r="Q24" s="4">
        <v>34</v>
      </c>
    </row>
    <row r="25" spans="2:17">
      <c r="B25">
        <v>623</v>
      </c>
      <c r="D25" t="str">
        <v>P</v>
      </c>
      <c r="E25" t="str">
        <v>yes</v>
      </c>
      <c r="J25" s="3" t="s">
        <v>78</v>
      </c>
      <c r="K25" s="4" t="s">
        <v>79</v>
      </c>
      <c r="L25" s="4" t="s">
        <v>13</v>
      </c>
      <c r="M25" s="4" t="s">
        <v>60</v>
      </c>
      <c r="N25" s="5">
        <v>44798</v>
      </c>
      <c r="O25" s="4" t="s">
        <v>37</v>
      </c>
      <c r="P25" s="4">
        <v>46200</v>
      </c>
      <c r="Q25" s="4">
        <v>30</v>
      </c>
    </row>
    <row r="26" spans="2:17">
      <c r="B26">
        <v>462</v>
      </c>
      <c r="D26" t="str">
        <v>R</v>
      </c>
      <c r="E26" t="str">
        <v>No</v>
      </c>
      <c r="J26" s="3" t="s">
        <v>80</v>
      </c>
      <c r="K26" s="4" t="s">
        <v>81</v>
      </c>
      <c r="L26" s="4" t="s">
        <v>20</v>
      </c>
      <c r="M26" s="4" t="s">
        <v>25</v>
      </c>
      <c r="N26" s="5">
        <v>45700</v>
      </c>
      <c r="O26" s="4" t="s">
        <v>26</v>
      </c>
      <c r="P26" s="4">
        <v>32500</v>
      </c>
      <c r="Q26" s="4">
        <v>64</v>
      </c>
    </row>
    <row r="27" spans="2:17">
      <c r="B27">
        <v>325</v>
      </c>
      <c r="D27" t="str">
        <v>S</v>
      </c>
      <c r="E27" t="str">
        <v>No</v>
      </c>
      <c r="J27" s="3" t="s">
        <v>82</v>
      </c>
      <c r="K27" s="4" t="s">
        <v>83</v>
      </c>
      <c r="L27" s="4" t="s">
        <v>20</v>
      </c>
      <c r="M27" s="4" t="s">
        <v>21</v>
      </c>
      <c r="N27" s="5">
        <v>45597</v>
      </c>
      <c r="O27" s="4" t="s">
        <v>42</v>
      </c>
      <c r="P27" s="4">
        <v>43100</v>
      </c>
      <c r="Q27" s="4">
        <v>34</v>
      </c>
    </row>
    <row r="28" spans="2:17">
      <c r="B28">
        <v>431</v>
      </c>
      <c r="D28" t="str">
        <v>A</v>
      </c>
      <c r="E28" t="str">
        <v>No</v>
      </c>
      <c r="J28" s="3" t="s">
        <v>84</v>
      </c>
      <c r="K28" s="4" t="s">
        <v>85</v>
      </c>
      <c r="L28" s="4" t="s">
        <v>20</v>
      </c>
      <c r="M28" s="4" t="s">
        <v>60</v>
      </c>
      <c r="N28" s="5">
        <v>44302</v>
      </c>
      <c r="O28" s="4" t="s">
        <v>45</v>
      </c>
      <c r="P28" s="4">
        <v>60000</v>
      </c>
      <c r="Q28" s="4">
        <v>29</v>
      </c>
    </row>
    <row r="29" spans="2:17">
      <c r="B29">
        <v>600</v>
      </c>
      <c r="D29" t="str">
        <v>K</v>
      </c>
      <c r="E29" t="str">
        <v>yes</v>
      </c>
      <c r="J29" s="3" t="s">
        <v>86</v>
      </c>
      <c r="K29" s="4" t="s">
        <v>87</v>
      </c>
      <c r="L29" s="4" t="s">
        <v>13</v>
      </c>
      <c r="M29" s="4" t="s">
        <v>69</v>
      </c>
      <c r="N29" s="5">
        <v>44113</v>
      </c>
      <c r="O29" s="4" t="s">
        <v>48</v>
      </c>
      <c r="P29" s="4">
        <v>82100</v>
      </c>
      <c r="Q29" s="4">
        <v>33</v>
      </c>
    </row>
    <row r="30" spans="2:17">
      <c r="B30">
        <v>821</v>
      </c>
      <c r="D30" t="str">
        <v>V</v>
      </c>
      <c r="E30" t="str">
        <v>yes</v>
      </c>
      <c r="J30" s="3" t="s">
        <v>88</v>
      </c>
      <c r="K30" s="4" t="s">
        <v>89</v>
      </c>
      <c r="L30" s="4" t="s">
        <v>13</v>
      </c>
      <c r="M30" s="4" t="s">
        <v>25</v>
      </c>
      <c r="N30" s="5">
        <v>45803</v>
      </c>
      <c r="O30" s="4" t="s">
        <v>22</v>
      </c>
      <c r="P30" s="4">
        <v>35900</v>
      </c>
      <c r="Q30" s="4">
        <v>30</v>
      </c>
    </row>
    <row r="31" spans="2:17">
      <c r="B31">
        <v>359</v>
      </c>
      <c r="D31" t="str">
        <v>S</v>
      </c>
      <c r="E31" t="str">
        <v>No</v>
      </c>
      <c r="J31" s="3" t="s">
        <v>90</v>
      </c>
      <c r="K31" s="4" t="s">
        <v>91</v>
      </c>
      <c r="L31" s="4" t="s">
        <v>13</v>
      </c>
      <c r="M31" s="4" t="s">
        <v>21</v>
      </c>
      <c r="N31" s="5">
        <v>44574</v>
      </c>
      <c r="O31" s="4" t="s">
        <v>26</v>
      </c>
      <c r="P31" s="4">
        <v>31100</v>
      </c>
      <c r="Q31" s="4">
        <v>27</v>
      </c>
    </row>
    <row r="32" spans="2:17">
      <c r="B32">
        <v>311</v>
      </c>
      <c r="D32" t="str">
        <v>P</v>
      </c>
      <c r="E32" t="str">
        <v>No</v>
      </c>
      <c r="J32" s="3" t="s">
        <v>92</v>
      </c>
      <c r="K32" s="4" t="s">
        <v>93</v>
      </c>
      <c r="L32" s="4" t="s">
        <v>13</v>
      </c>
      <c r="M32" s="4" t="s">
        <v>60</v>
      </c>
      <c r="N32" s="5">
        <v>44039</v>
      </c>
      <c r="O32" s="4" t="s">
        <v>57</v>
      </c>
      <c r="P32" s="4">
        <v>74200</v>
      </c>
      <c r="Q32" s="4">
        <v>31</v>
      </c>
    </row>
    <row r="33" spans="2:17">
      <c r="B33">
        <v>742</v>
      </c>
      <c r="D33" t="str">
        <v>M</v>
      </c>
      <c r="E33" t="str">
        <v>yes</v>
      </c>
      <c r="J33" s="3" t="s">
        <v>94</v>
      </c>
      <c r="K33" s="4" t="s">
        <v>95</v>
      </c>
      <c r="L33" s="4" t="s">
        <v>13</v>
      </c>
      <c r="M33" s="4" t="s">
        <v>69</v>
      </c>
      <c r="N33" s="5">
        <v>44269</v>
      </c>
      <c r="O33" s="4" t="s">
        <v>45</v>
      </c>
      <c r="P33" s="4">
        <v>57100</v>
      </c>
      <c r="Q33" s="4">
        <v>29</v>
      </c>
    </row>
    <row r="34" spans="2:17">
      <c r="B34">
        <v>571</v>
      </c>
      <c r="D34" t="str">
        <v>V</v>
      </c>
      <c r="E34" t="str">
        <v>yes</v>
      </c>
      <c r="J34" s="3" t="s">
        <v>96</v>
      </c>
      <c r="K34" s="4" t="s">
        <v>97</v>
      </c>
      <c r="L34" s="4" t="s">
        <v>13</v>
      </c>
      <c r="M34" s="4" t="s">
        <v>25</v>
      </c>
      <c r="N34" s="5">
        <v>45563</v>
      </c>
      <c r="O34" s="4" t="s">
        <v>26</v>
      </c>
      <c r="P34" s="4">
        <v>35200</v>
      </c>
      <c r="Q34" s="4">
        <v>34</v>
      </c>
    </row>
    <row r="35" spans="2:17">
      <c r="B35">
        <v>352</v>
      </c>
      <c r="D35" t="str">
        <v>S</v>
      </c>
      <c r="E35" t="str">
        <v>No</v>
      </c>
      <c r="J35" s="3" t="s">
        <v>98</v>
      </c>
      <c r="K35" s="4" t="s">
        <v>99</v>
      </c>
      <c r="L35" s="4" t="s">
        <v>13</v>
      </c>
      <c r="M35" s="4" t="s">
        <v>21</v>
      </c>
      <c r="N35" s="5">
        <v>45027</v>
      </c>
      <c r="O35" s="4" t="s">
        <v>42</v>
      </c>
      <c r="P35" s="4">
        <v>42800</v>
      </c>
      <c r="Q35" s="4">
        <v>31</v>
      </c>
    </row>
    <row r="36" spans="2:17">
      <c r="B36">
        <v>428</v>
      </c>
      <c r="D36" t="str">
        <v>K</v>
      </c>
      <c r="E36" t="str">
        <v>No</v>
      </c>
      <c r="J36" s="3" t="s">
        <v>100</v>
      </c>
      <c r="K36" s="4" t="s">
        <v>101</v>
      </c>
      <c r="L36" s="4" t="s">
        <v>13</v>
      </c>
      <c r="M36" s="4" t="s">
        <v>60</v>
      </c>
      <c r="N36" s="5">
        <v>44587</v>
      </c>
      <c r="O36" s="4" t="s">
        <v>37</v>
      </c>
      <c r="P36" s="4">
        <v>46900</v>
      </c>
      <c r="Q36" s="4">
        <v>35</v>
      </c>
    </row>
    <row r="37" spans="2:17">
      <c r="B37">
        <v>469</v>
      </c>
      <c r="D37" t="str">
        <v>V</v>
      </c>
      <c r="E37" t="str">
        <v>No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3ACE2-A91A-47DA-9606-541374CD8A9D}">
  <dimension ref="B2:L25"/>
  <sheetViews>
    <sheetView workbookViewId="0">
      <selection activeCell="C25" sqref="C25"/>
    </sheetView>
  </sheetViews>
  <sheetFormatPr defaultRowHeight="15"/>
  <cols>
    <col min="2" max="2" width="12.28515625" bestFit="1" customWidth="1"/>
    <col min="3" max="3" width="25.85546875" bestFit="1" customWidth="1"/>
    <col min="4" max="4" width="24.42578125" customWidth="1"/>
  </cols>
  <sheetData>
    <row r="2" spans="2:12">
      <c r="C2" s="6" t="s">
        <v>630</v>
      </c>
    </row>
    <row r="4" spans="2:12">
      <c r="C4" s="6" t="s">
        <v>631</v>
      </c>
      <c r="D4" s="7" t="s">
        <v>632</v>
      </c>
    </row>
    <row r="5" spans="2:12">
      <c r="D5" s="11"/>
      <c r="E5" s="11" t="str" cm="1">
        <f t="array" ref="E5:L7">_xlfn.TAKE(_xlfn._xlws.SORT('Dynamic Array'!J2:Q36,7,-1),3)</f>
        <v>Abraham LinColumn</v>
      </c>
      <c r="F5" s="11" t="str">
        <v>AC0010</v>
      </c>
      <c r="G5" s="11" t="str">
        <v>Male</v>
      </c>
      <c r="H5" s="11" t="str">
        <v>Master's Degree</v>
      </c>
      <c r="I5" s="11">
        <v>44372</v>
      </c>
      <c r="J5" s="11" t="str">
        <v>Product Manager</v>
      </c>
      <c r="K5" s="11">
        <v>82900</v>
      </c>
      <c r="L5" s="11">
        <v>31</v>
      </c>
    </row>
    <row r="6" spans="2:12">
      <c r="D6" s="13" t="s">
        <v>633</v>
      </c>
      <c r="E6" s="11" t="str">
        <v>Shahrukh SCAN</v>
      </c>
      <c r="F6" s="11" t="str">
        <v>AC0019</v>
      </c>
      <c r="G6" s="11" t="str">
        <v>Male</v>
      </c>
      <c r="H6" s="11" t="str">
        <v>Master</v>
      </c>
      <c r="I6" s="11">
        <v>43661</v>
      </c>
      <c r="J6" s="11" t="str">
        <v>Product Manager</v>
      </c>
      <c r="K6" s="11">
        <v>82700</v>
      </c>
      <c r="L6" s="11">
        <v>34</v>
      </c>
    </row>
    <row r="7" spans="2:12">
      <c r="D7" s="11"/>
      <c r="E7" s="11" t="str">
        <v>VALUE Arjun</v>
      </c>
      <c r="F7" s="11" t="str">
        <v>AC0028</v>
      </c>
      <c r="G7" s="11" t="str">
        <v>Male</v>
      </c>
      <c r="H7" s="11" t="str">
        <v>Master</v>
      </c>
      <c r="I7" s="11">
        <v>44113</v>
      </c>
      <c r="J7" s="11" t="str">
        <v>Product Manager</v>
      </c>
      <c r="K7" s="11">
        <v>82100</v>
      </c>
      <c r="L7" s="11">
        <v>33</v>
      </c>
    </row>
    <row r="9" spans="2:12">
      <c r="D9" s="12"/>
      <c r="E9" s="12" t="str" cm="1">
        <f t="array" ref="E9:L11">_xlfn.TAKE(_xlfn._xlws.SORT('Dynamic Array'!J2:Q36,7,-1),-3)</f>
        <v>Fill Clinton</v>
      </c>
      <c r="F9" s="12" t="str">
        <v>AC0003</v>
      </c>
      <c r="G9" s="12" t="str">
        <v>Male</v>
      </c>
      <c r="H9" s="12" t="str">
        <v>High School Diploma</v>
      </c>
      <c r="I9" s="12">
        <v>45540</v>
      </c>
      <c r="J9" s="12" t="str">
        <v>Packaging Associate</v>
      </c>
      <c r="K9" s="12">
        <v>31400</v>
      </c>
      <c r="L9" s="12">
        <v>34</v>
      </c>
    </row>
    <row r="10" spans="2:12">
      <c r="D10" s="14" t="s">
        <v>634</v>
      </c>
      <c r="E10" s="12" t="str">
        <v>Paresh ROWLEVEL</v>
      </c>
      <c r="F10" s="12" t="str">
        <v>AC0030</v>
      </c>
      <c r="G10" s="12" t="str">
        <v>Male</v>
      </c>
      <c r="H10" s="12" t="str">
        <v>Diploma</v>
      </c>
      <c r="I10" s="12">
        <v>44574</v>
      </c>
      <c r="J10" s="12" t="str">
        <v>Packaging Associate</v>
      </c>
      <c r="K10" s="12">
        <v>31100</v>
      </c>
      <c r="L10" s="12">
        <v>27</v>
      </c>
    </row>
    <row r="11" spans="2:12">
      <c r="D11" s="12"/>
      <c r="E11" s="12" t="str">
        <v>Harry S TRUEman</v>
      </c>
      <c r="F11" s="12" t="str">
        <v>AC0011</v>
      </c>
      <c r="G11" s="12" t="str">
        <v>Male</v>
      </c>
      <c r="H11" s="12" t="str">
        <v>High School Diploma</v>
      </c>
      <c r="I11" s="12">
        <v>45508</v>
      </c>
      <c r="J11" s="12" t="str">
        <v>Packaging Associate</v>
      </c>
      <c r="K11" s="12">
        <v>28900</v>
      </c>
      <c r="L11" s="12">
        <v>30</v>
      </c>
    </row>
    <row r="14" spans="2:12" ht="27" customHeight="1">
      <c r="C14" s="8" t="s">
        <v>630</v>
      </c>
      <c r="D14" s="10" t="str" cm="1">
        <f t="array" ref="D14:K19">_xlfn.LET(_xlpm.data,'Dynamic Array'!J2:Q36,_xlpm.n,C16,_xlpm.sorted_array,_xlfn._xlws.SORT(_xlpm.data,7,-1),_xlpm.top_n,_xlfn.TAKE(_xlpm.sorted_array,_xlpm.n),_xlpm.bottom_n,_xlfn.TAKE(_xlpm.sorted_array,-_xlpm.n),_xlpm.full_data,_xlfn.VSTACK(_xlpm.top_n,_xlpm.bottom_n),_xlpm.full_data)</f>
        <v>Abraham LinColumn</v>
      </c>
      <c r="E14" s="11" t="str">
        <v>AC0010</v>
      </c>
      <c r="F14" s="11" t="str">
        <v>Male</v>
      </c>
      <c r="G14" s="11" t="str">
        <v>Master's Degree</v>
      </c>
      <c r="H14" s="11">
        <v>44372</v>
      </c>
      <c r="I14" s="11" t="str">
        <v>Product Manager</v>
      </c>
      <c r="J14" s="11">
        <v>82900</v>
      </c>
      <c r="K14" s="11">
        <v>31</v>
      </c>
    </row>
    <row r="15" spans="2:12">
      <c r="D15" s="11" t="str">
        <v>Shahrukh SCAN</v>
      </c>
      <c r="E15" s="11" t="str">
        <v>AC0019</v>
      </c>
      <c r="F15" s="11" t="str">
        <v>Male</v>
      </c>
      <c r="G15" s="11" t="str">
        <v>Master</v>
      </c>
      <c r="H15" s="11">
        <v>43661</v>
      </c>
      <c r="I15" s="11" t="str">
        <v>Product Manager</v>
      </c>
      <c r="J15" s="11">
        <v>82700</v>
      </c>
      <c r="K15" s="11">
        <v>34</v>
      </c>
    </row>
    <row r="16" spans="2:12">
      <c r="B16" t="s">
        <v>635</v>
      </c>
      <c r="C16" s="6">
        <v>3</v>
      </c>
      <c r="D16" s="11" t="str">
        <v>VALUE Arjun</v>
      </c>
      <c r="E16" s="11" t="str">
        <v>AC0028</v>
      </c>
      <c r="F16" s="11" t="str">
        <v>Male</v>
      </c>
      <c r="G16" s="11" t="str">
        <v>Master</v>
      </c>
      <c r="H16" s="11">
        <v>44113</v>
      </c>
      <c r="I16" s="11" t="str">
        <v>Product Manager</v>
      </c>
      <c r="J16" s="11">
        <v>82100</v>
      </c>
      <c r="K16" s="11">
        <v>33</v>
      </c>
    </row>
    <row r="17" spans="3:11">
      <c r="D17" s="12" t="str">
        <v>Fill Clinton</v>
      </c>
      <c r="E17" s="12" t="str">
        <v>AC0003</v>
      </c>
      <c r="F17" s="12" t="str">
        <v>Male</v>
      </c>
      <c r="G17" s="12" t="str">
        <v>High School Diploma</v>
      </c>
      <c r="H17" s="12">
        <v>45540</v>
      </c>
      <c r="I17" s="12" t="str">
        <v>Packaging Associate</v>
      </c>
      <c r="J17" s="12">
        <v>31400</v>
      </c>
      <c r="K17" s="12">
        <v>34</v>
      </c>
    </row>
    <row r="18" spans="3:11">
      <c r="D18" s="12" t="str">
        <v>Paresh ROWLEVEL</v>
      </c>
      <c r="E18" s="12" t="str">
        <v>AC0030</v>
      </c>
      <c r="F18" s="12" t="str">
        <v>Male</v>
      </c>
      <c r="G18" s="12" t="str">
        <v>Diploma</v>
      </c>
      <c r="H18" s="12">
        <v>44574</v>
      </c>
      <c r="I18" s="12" t="str">
        <v>Packaging Associate</v>
      </c>
      <c r="J18" s="12">
        <v>31100</v>
      </c>
      <c r="K18" s="12">
        <v>27</v>
      </c>
    </row>
    <row r="19" spans="3:11">
      <c r="D19" s="12" t="str">
        <v>Harry S TRUEman</v>
      </c>
      <c r="E19" s="12" t="str">
        <v>AC0011</v>
      </c>
      <c r="F19" s="12" t="str">
        <v>Male</v>
      </c>
      <c r="G19" s="12" t="str">
        <v>High School Diploma</v>
      </c>
      <c r="H19" s="12">
        <v>45508</v>
      </c>
      <c r="I19" s="12" t="str">
        <v>Packaging Associate</v>
      </c>
      <c r="J19" s="12">
        <v>28900</v>
      </c>
      <c r="K19" s="12">
        <v>30</v>
      </c>
    </row>
    <row r="23" spans="3:11">
      <c r="C23" s="15" t="s">
        <v>636</v>
      </c>
      <c r="F23">
        <v>45</v>
      </c>
      <c r="G23">
        <v>8</v>
      </c>
    </row>
    <row r="25" spans="3:11">
      <c r="C25" cm="1">
        <f t="array" ref="C25">_xlfn.LAMBDA(_xlpm.a,_xlpm.b,_xlpm.a*_xlpm.b)(F23,G23)</f>
        <v>360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3E19D-EE78-4759-906E-C11EDFBF671D}">
  <dimension ref="B1:F36"/>
  <sheetViews>
    <sheetView workbookViewId="0">
      <selection activeCell="G4" sqref="G4"/>
    </sheetView>
  </sheetViews>
  <sheetFormatPr defaultRowHeight="15"/>
  <cols>
    <col min="2" max="2" width="23.5703125" customWidth="1"/>
    <col min="5" max="5" width="36.5703125" bestFit="1" customWidth="1"/>
    <col min="6" max="6" width="11.42578125" bestFit="1" customWidth="1"/>
  </cols>
  <sheetData>
    <row r="1" spans="2:6">
      <c r="B1" s="6" t="s">
        <v>637</v>
      </c>
      <c r="D1" s="6"/>
      <c r="E1" s="6" t="s">
        <v>638</v>
      </c>
      <c r="F1" s="7" t="s">
        <v>639</v>
      </c>
    </row>
    <row r="2" spans="2:6" ht="29.25">
      <c r="B2" s="9" cm="1">
        <f t="array" ref="B2:B36">_xlfn.MAP('Dynamic Array'!P2:P36,_xlfn.LAMBDA(_xlpm.each,_xlpm.each/1000))</f>
        <v>51.3</v>
      </c>
      <c r="E2" s="9" cm="1">
        <f t="array" ref="E2:E36">_xlfn.SCAN(0,'Dynamic Array'!P2:P36,_xlfn.LAMBDA(_xlpm.a,_xlpm.c,_xlpm.a+_xlpm.c))</f>
        <v>51300</v>
      </c>
    </row>
    <row r="3" spans="2:6">
      <c r="B3">
        <v>38.299999999999997</v>
      </c>
      <c r="E3">
        <v>89600</v>
      </c>
    </row>
    <row r="4" spans="2:6">
      <c r="B4">
        <v>31.4</v>
      </c>
      <c r="E4">
        <v>121000</v>
      </c>
    </row>
    <row r="5" spans="2:6">
      <c r="B5">
        <v>60.7</v>
      </c>
      <c r="E5">
        <v>181700</v>
      </c>
    </row>
    <row r="6" spans="2:6">
      <c r="B6">
        <v>77.3</v>
      </c>
      <c r="E6">
        <v>259000</v>
      </c>
    </row>
    <row r="7" spans="2:6">
      <c r="B7">
        <v>49.8</v>
      </c>
      <c r="E7">
        <v>308800</v>
      </c>
    </row>
    <row r="8" spans="2:6">
      <c r="B8">
        <v>33</v>
      </c>
      <c r="E8">
        <v>341800</v>
      </c>
    </row>
    <row r="9" spans="2:6">
      <c r="B9">
        <v>41.9</v>
      </c>
      <c r="E9">
        <v>383700</v>
      </c>
    </row>
    <row r="10" spans="2:6">
      <c r="B10">
        <v>58.1</v>
      </c>
      <c r="E10">
        <v>441800</v>
      </c>
    </row>
    <row r="11" spans="2:6">
      <c r="B11">
        <v>82.9</v>
      </c>
      <c r="E11">
        <v>524700</v>
      </c>
    </row>
    <row r="12" spans="2:6">
      <c r="B12">
        <v>28.9</v>
      </c>
      <c r="E12">
        <v>553600</v>
      </c>
    </row>
    <row r="13" spans="2:6">
      <c r="B13">
        <v>37.299999999999997</v>
      </c>
      <c r="E13">
        <v>590900</v>
      </c>
    </row>
    <row r="14" spans="2:6">
      <c r="B14">
        <v>52.7</v>
      </c>
      <c r="E14">
        <v>643600</v>
      </c>
    </row>
    <row r="15" spans="2:6">
      <c r="B15">
        <v>74.7</v>
      </c>
      <c r="E15">
        <v>718300</v>
      </c>
    </row>
    <row r="16" spans="2:6">
      <c r="B16">
        <v>55.6</v>
      </c>
      <c r="E16">
        <v>773900</v>
      </c>
    </row>
    <row r="17" spans="2:5">
      <c r="B17">
        <v>32.9</v>
      </c>
      <c r="E17">
        <v>806800</v>
      </c>
    </row>
    <row r="18" spans="2:5">
      <c r="B18">
        <v>41.5</v>
      </c>
      <c r="E18">
        <v>848300</v>
      </c>
    </row>
    <row r="19" spans="2:5">
      <c r="B19">
        <v>49.4</v>
      </c>
      <c r="E19">
        <v>897700</v>
      </c>
    </row>
    <row r="20" spans="2:5">
      <c r="B20">
        <v>82.7</v>
      </c>
      <c r="E20">
        <v>980400</v>
      </c>
    </row>
    <row r="21" spans="2:5">
      <c r="B21">
        <v>38.200000000000003</v>
      </c>
      <c r="E21">
        <v>1018600</v>
      </c>
    </row>
    <row r="22" spans="2:5">
      <c r="B22">
        <v>32.6</v>
      </c>
      <c r="E22">
        <v>1051200</v>
      </c>
    </row>
    <row r="23" spans="2:5">
      <c r="B23">
        <v>76.8</v>
      </c>
      <c r="E23">
        <v>1128000</v>
      </c>
    </row>
    <row r="24" spans="2:5">
      <c r="B24">
        <v>62.3</v>
      </c>
      <c r="E24">
        <v>1190300</v>
      </c>
    </row>
    <row r="25" spans="2:5">
      <c r="B25">
        <v>46.2</v>
      </c>
      <c r="E25">
        <v>1236500</v>
      </c>
    </row>
    <row r="26" spans="2:5">
      <c r="B26">
        <v>32.5</v>
      </c>
      <c r="E26">
        <v>1269000</v>
      </c>
    </row>
    <row r="27" spans="2:5">
      <c r="B27">
        <v>43.1</v>
      </c>
      <c r="E27">
        <v>1312100</v>
      </c>
    </row>
    <row r="28" spans="2:5">
      <c r="B28">
        <v>60</v>
      </c>
      <c r="E28">
        <v>1372100</v>
      </c>
    </row>
    <row r="29" spans="2:5">
      <c r="B29">
        <v>82.1</v>
      </c>
      <c r="E29">
        <v>1454200</v>
      </c>
    </row>
    <row r="30" spans="2:5">
      <c r="B30">
        <v>35.9</v>
      </c>
      <c r="E30">
        <v>1490100</v>
      </c>
    </row>
    <row r="31" spans="2:5">
      <c r="B31">
        <v>31.1</v>
      </c>
      <c r="E31">
        <v>1521200</v>
      </c>
    </row>
    <row r="32" spans="2:5">
      <c r="B32">
        <v>74.2</v>
      </c>
      <c r="E32">
        <v>1595400</v>
      </c>
    </row>
    <row r="33" spans="2:5">
      <c r="B33">
        <v>57.1</v>
      </c>
      <c r="E33">
        <v>1652500</v>
      </c>
    </row>
    <row r="34" spans="2:5">
      <c r="B34">
        <v>35.200000000000003</v>
      </c>
      <c r="E34">
        <v>1687700</v>
      </c>
    </row>
    <row r="35" spans="2:5">
      <c r="B35">
        <v>42.8</v>
      </c>
      <c r="E35">
        <v>1730500</v>
      </c>
    </row>
    <row r="36" spans="2:5">
      <c r="B36">
        <v>46.9</v>
      </c>
      <c r="E36">
        <v>1777400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2026-05-27T11:17:29Z</dcterms:created>
  <dcterms:modified xsi:type="dcterms:W3CDTF">2026-05-27T13:57:31Z</dcterms:modified>
  <cp:category/>
  <cp:contentStatus/>
</cp:coreProperties>
</file>