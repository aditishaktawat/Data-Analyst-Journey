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\OneDrive\Desktop\EXcel\4-hour-course-xl-files\my excel\"/>
    </mc:Choice>
  </mc:AlternateContent>
  <xr:revisionPtr revIDLastSave="0" documentId="8_{2ADE5146-E3E5-42A7-A503-4BACC96BE050}" xr6:coauthVersionLast="47" xr6:coauthVersionMax="47" xr10:uidLastSave="{00000000-0000-0000-0000-000000000000}"/>
  <bookViews>
    <workbookView xWindow="-108" yWindow="-108" windowWidth="23256" windowHeight="12456" activeTab="1" xr2:uid="{B66C5B65-0BE0-454C-9FE5-199A497FFADB}"/>
  </bookViews>
  <sheets>
    <sheet name="Sheet1" sheetId="1" r:id="rId1"/>
    <sheet name="Sheet2" sheetId="2" r:id="rId2"/>
    <sheet name="Data" sheetId="4" r:id="rId3"/>
  </sheets>
  <externalReferences>
    <externalReference r:id="rId4"/>
  </externalReferenc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04" i="4" l="1"/>
  <c r="J1004" i="4"/>
  <c r="I1004" i="4"/>
  <c r="H1004" i="4"/>
  <c r="K1003" i="4"/>
  <c r="J1003" i="4"/>
  <c r="I1003" i="4"/>
  <c r="H1003" i="4"/>
  <c r="K1002" i="4"/>
  <c r="J1002" i="4"/>
  <c r="I1002" i="4"/>
  <c r="H1002" i="4"/>
  <c r="K1001" i="4"/>
  <c r="J1001" i="4"/>
  <c r="I1001" i="4"/>
  <c r="H1001" i="4"/>
  <c r="K1000" i="4"/>
  <c r="J1000" i="4"/>
  <c r="I1000" i="4"/>
  <c r="H1000" i="4"/>
  <c r="K999" i="4"/>
  <c r="J999" i="4"/>
  <c r="I999" i="4"/>
  <c r="H999" i="4"/>
  <c r="K998" i="4"/>
  <c r="J998" i="4"/>
  <c r="I998" i="4"/>
  <c r="H998" i="4"/>
  <c r="K997" i="4"/>
  <c r="J997" i="4"/>
  <c r="I997" i="4"/>
  <c r="H997" i="4"/>
  <c r="K996" i="4"/>
  <c r="J996" i="4"/>
  <c r="I996" i="4"/>
  <c r="H996" i="4"/>
  <c r="K995" i="4"/>
  <c r="J995" i="4"/>
  <c r="I995" i="4"/>
  <c r="H995" i="4"/>
  <c r="K994" i="4"/>
  <c r="J994" i="4"/>
  <c r="I994" i="4"/>
  <c r="H994" i="4"/>
  <c r="K993" i="4"/>
  <c r="J993" i="4"/>
  <c r="I993" i="4"/>
  <c r="H993" i="4"/>
  <c r="K992" i="4"/>
  <c r="J992" i="4"/>
  <c r="I992" i="4"/>
  <c r="H992" i="4"/>
  <c r="K991" i="4"/>
  <c r="J991" i="4"/>
  <c r="I991" i="4"/>
  <c r="H991" i="4"/>
  <c r="K990" i="4"/>
  <c r="J990" i="4"/>
  <c r="I990" i="4"/>
  <c r="H990" i="4"/>
  <c r="K989" i="4"/>
  <c r="J989" i="4"/>
  <c r="I989" i="4"/>
  <c r="H989" i="4"/>
  <c r="K988" i="4"/>
  <c r="J988" i="4"/>
  <c r="I988" i="4"/>
  <c r="H988" i="4"/>
  <c r="K987" i="4"/>
  <c r="J987" i="4"/>
  <c r="I987" i="4"/>
  <c r="H987" i="4"/>
  <c r="K986" i="4"/>
  <c r="J986" i="4"/>
  <c r="I986" i="4"/>
  <c r="H986" i="4"/>
  <c r="K985" i="4"/>
  <c r="J985" i="4"/>
  <c r="I985" i="4"/>
  <c r="H985" i="4"/>
  <c r="K984" i="4"/>
  <c r="J984" i="4"/>
  <c r="I984" i="4"/>
  <c r="H984" i="4"/>
  <c r="K983" i="4"/>
  <c r="J983" i="4"/>
  <c r="I983" i="4"/>
  <c r="H983" i="4"/>
  <c r="K982" i="4"/>
  <c r="J982" i="4"/>
  <c r="I982" i="4"/>
  <c r="H982" i="4"/>
  <c r="K981" i="4"/>
  <c r="J981" i="4"/>
  <c r="I981" i="4"/>
  <c r="H981" i="4"/>
  <c r="K980" i="4"/>
  <c r="J980" i="4"/>
  <c r="I980" i="4"/>
  <c r="H980" i="4"/>
  <c r="K979" i="4"/>
  <c r="J979" i="4"/>
  <c r="I979" i="4"/>
  <c r="H979" i="4"/>
  <c r="K978" i="4"/>
  <c r="J978" i="4"/>
  <c r="I978" i="4"/>
  <c r="H978" i="4"/>
  <c r="K977" i="4"/>
  <c r="J977" i="4"/>
  <c r="I977" i="4"/>
  <c r="H977" i="4"/>
  <c r="K976" i="4"/>
  <c r="J976" i="4"/>
  <c r="I976" i="4"/>
  <c r="H976" i="4"/>
  <c r="K975" i="4"/>
  <c r="J975" i="4"/>
  <c r="I975" i="4"/>
  <c r="H975" i="4"/>
  <c r="K974" i="4"/>
  <c r="J974" i="4"/>
  <c r="I974" i="4"/>
  <c r="H974" i="4"/>
  <c r="K973" i="4"/>
  <c r="J973" i="4"/>
  <c r="I973" i="4"/>
  <c r="H973" i="4"/>
  <c r="K972" i="4"/>
  <c r="J972" i="4"/>
  <c r="I972" i="4"/>
  <c r="H972" i="4"/>
  <c r="K971" i="4"/>
  <c r="J971" i="4"/>
  <c r="I971" i="4"/>
  <c r="H971" i="4"/>
  <c r="K970" i="4"/>
  <c r="J970" i="4"/>
  <c r="I970" i="4"/>
  <c r="H970" i="4"/>
  <c r="K969" i="4"/>
  <c r="J969" i="4"/>
  <c r="I969" i="4"/>
  <c r="H969" i="4"/>
  <c r="K968" i="4"/>
  <c r="J968" i="4"/>
  <c r="I968" i="4"/>
  <c r="H968" i="4"/>
  <c r="K967" i="4"/>
  <c r="J967" i="4"/>
  <c r="I967" i="4"/>
  <c r="H967" i="4"/>
  <c r="K966" i="4"/>
  <c r="J966" i="4"/>
  <c r="I966" i="4"/>
  <c r="H966" i="4"/>
  <c r="K965" i="4"/>
  <c r="J965" i="4"/>
  <c r="I965" i="4"/>
  <c r="H965" i="4"/>
  <c r="K964" i="4"/>
  <c r="J964" i="4"/>
  <c r="I964" i="4"/>
  <c r="H964" i="4"/>
  <c r="K963" i="4"/>
  <c r="J963" i="4"/>
  <c r="I963" i="4"/>
  <c r="H963" i="4"/>
  <c r="K962" i="4"/>
  <c r="J962" i="4"/>
  <c r="I962" i="4"/>
  <c r="H962" i="4"/>
  <c r="K961" i="4"/>
  <c r="J961" i="4"/>
  <c r="I961" i="4"/>
  <c r="H961" i="4"/>
  <c r="K960" i="4"/>
  <c r="J960" i="4"/>
  <c r="I960" i="4"/>
  <c r="H960" i="4"/>
  <c r="K959" i="4"/>
  <c r="J959" i="4"/>
  <c r="I959" i="4"/>
  <c r="H959" i="4"/>
  <c r="K958" i="4"/>
  <c r="J958" i="4"/>
  <c r="I958" i="4"/>
  <c r="H958" i="4"/>
  <c r="K957" i="4"/>
  <c r="J957" i="4"/>
  <c r="I957" i="4"/>
  <c r="H957" i="4"/>
  <c r="K956" i="4"/>
  <c r="J956" i="4"/>
  <c r="I956" i="4"/>
  <c r="H956" i="4"/>
  <c r="K955" i="4"/>
  <c r="J955" i="4"/>
  <c r="I955" i="4"/>
  <c r="H955" i="4"/>
  <c r="K954" i="4"/>
  <c r="J954" i="4"/>
  <c r="I954" i="4"/>
  <c r="H954" i="4"/>
  <c r="K953" i="4"/>
  <c r="J953" i="4"/>
  <c r="I953" i="4"/>
  <c r="H953" i="4"/>
  <c r="K952" i="4"/>
  <c r="J952" i="4"/>
  <c r="I952" i="4"/>
  <c r="H952" i="4"/>
  <c r="K951" i="4"/>
  <c r="J951" i="4"/>
  <c r="I951" i="4"/>
  <c r="H951" i="4"/>
  <c r="K950" i="4"/>
  <c r="J950" i="4"/>
  <c r="I950" i="4"/>
  <c r="H950" i="4"/>
  <c r="K949" i="4"/>
  <c r="J949" i="4"/>
  <c r="I949" i="4"/>
  <c r="H949" i="4"/>
  <c r="K948" i="4"/>
  <c r="J948" i="4"/>
  <c r="I948" i="4"/>
  <c r="H948" i="4"/>
  <c r="K947" i="4"/>
  <c r="J947" i="4"/>
  <c r="I947" i="4"/>
  <c r="H947" i="4"/>
  <c r="K946" i="4"/>
  <c r="J946" i="4"/>
  <c r="I946" i="4"/>
  <c r="H946" i="4"/>
  <c r="K945" i="4"/>
  <c r="J945" i="4"/>
  <c r="I945" i="4"/>
  <c r="H945" i="4"/>
  <c r="K944" i="4"/>
  <c r="J944" i="4"/>
  <c r="I944" i="4"/>
  <c r="H944" i="4"/>
  <c r="K943" i="4"/>
  <c r="J943" i="4"/>
  <c r="I943" i="4"/>
  <c r="H943" i="4"/>
  <c r="K942" i="4"/>
  <c r="J942" i="4"/>
  <c r="I942" i="4"/>
  <c r="H942" i="4"/>
  <c r="K941" i="4"/>
  <c r="J941" i="4"/>
  <c r="I941" i="4"/>
  <c r="H941" i="4"/>
  <c r="K940" i="4"/>
  <c r="J940" i="4"/>
  <c r="I940" i="4"/>
  <c r="H940" i="4"/>
  <c r="K939" i="4"/>
  <c r="J939" i="4"/>
  <c r="I939" i="4"/>
  <c r="H939" i="4"/>
  <c r="K938" i="4"/>
  <c r="J938" i="4"/>
  <c r="I938" i="4"/>
  <c r="H938" i="4"/>
  <c r="K937" i="4"/>
  <c r="J937" i="4"/>
  <c r="I937" i="4"/>
  <c r="H937" i="4"/>
  <c r="K936" i="4"/>
  <c r="J936" i="4"/>
  <c r="I936" i="4"/>
  <c r="H936" i="4"/>
  <c r="K935" i="4"/>
  <c r="J935" i="4"/>
  <c r="I935" i="4"/>
  <c r="H935" i="4"/>
  <c r="K934" i="4"/>
  <c r="J934" i="4"/>
  <c r="I934" i="4"/>
  <c r="H934" i="4"/>
  <c r="K933" i="4"/>
  <c r="J933" i="4"/>
  <c r="I933" i="4"/>
  <c r="H933" i="4"/>
  <c r="K932" i="4"/>
  <c r="J932" i="4"/>
  <c r="I932" i="4"/>
  <c r="H932" i="4"/>
  <c r="K931" i="4"/>
  <c r="J931" i="4"/>
  <c r="I931" i="4"/>
  <c r="H931" i="4"/>
  <c r="K930" i="4"/>
  <c r="J930" i="4"/>
  <c r="I930" i="4"/>
  <c r="H930" i="4"/>
  <c r="K929" i="4"/>
  <c r="J929" i="4"/>
  <c r="I929" i="4"/>
  <c r="H929" i="4"/>
  <c r="K928" i="4"/>
  <c r="J928" i="4"/>
  <c r="I928" i="4"/>
  <c r="H928" i="4"/>
  <c r="K927" i="4"/>
  <c r="J927" i="4"/>
  <c r="I927" i="4"/>
  <c r="H927" i="4"/>
  <c r="K926" i="4"/>
  <c r="J926" i="4"/>
  <c r="I926" i="4"/>
  <c r="H926" i="4"/>
  <c r="K925" i="4"/>
  <c r="J925" i="4"/>
  <c r="I925" i="4"/>
  <c r="H925" i="4"/>
  <c r="K924" i="4"/>
  <c r="J924" i="4"/>
  <c r="I924" i="4"/>
  <c r="H924" i="4"/>
  <c r="K923" i="4"/>
  <c r="J923" i="4"/>
  <c r="I923" i="4"/>
  <c r="H923" i="4"/>
  <c r="K922" i="4"/>
  <c r="J922" i="4"/>
  <c r="I922" i="4"/>
  <c r="H922" i="4"/>
  <c r="K921" i="4"/>
  <c r="J921" i="4"/>
  <c r="I921" i="4"/>
  <c r="H921" i="4"/>
  <c r="K920" i="4"/>
  <c r="J920" i="4"/>
  <c r="I920" i="4"/>
  <c r="H920" i="4"/>
  <c r="K919" i="4"/>
  <c r="J919" i="4"/>
  <c r="I919" i="4"/>
  <c r="H919" i="4"/>
  <c r="K918" i="4"/>
  <c r="J918" i="4"/>
  <c r="I918" i="4"/>
  <c r="H918" i="4"/>
  <c r="K917" i="4"/>
  <c r="J917" i="4"/>
  <c r="I917" i="4"/>
  <c r="H917" i="4"/>
  <c r="K916" i="4"/>
  <c r="J916" i="4"/>
  <c r="I916" i="4"/>
  <c r="H916" i="4"/>
  <c r="K915" i="4"/>
  <c r="J915" i="4"/>
  <c r="I915" i="4"/>
  <c r="H915" i="4"/>
  <c r="K914" i="4"/>
  <c r="J914" i="4"/>
  <c r="I914" i="4"/>
  <c r="H914" i="4"/>
  <c r="K913" i="4"/>
  <c r="J913" i="4"/>
  <c r="I913" i="4"/>
  <c r="H913" i="4"/>
  <c r="K912" i="4"/>
  <c r="J912" i="4"/>
  <c r="I912" i="4"/>
  <c r="H912" i="4"/>
  <c r="K911" i="4"/>
  <c r="J911" i="4"/>
  <c r="I911" i="4"/>
  <c r="H911" i="4"/>
  <c r="K910" i="4"/>
  <c r="J910" i="4"/>
  <c r="I910" i="4"/>
  <c r="H910" i="4"/>
  <c r="K909" i="4"/>
  <c r="J909" i="4"/>
  <c r="I909" i="4"/>
  <c r="H909" i="4"/>
  <c r="K908" i="4"/>
  <c r="J908" i="4"/>
  <c r="I908" i="4"/>
  <c r="H908" i="4"/>
  <c r="K907" i="4"/>
  <c r="J907" i="4"/>
  <c r="I907" i="4"/>
  <c r="H907" i="4"/>
  <c r="K906" i="4"/>
  <c r="J906" i="4"/>
  <c r="I906" i="4"/>
  <c r="H906" i="4"/>
  <c r="K905" i="4"/>
  <c r="J905" i="4"/>
  <c r="I905" i="4"/>
  <c r="H905" i="4"/>
  <c r="K904" i="4"/>
  <c r="J904" i="4"/>
  <c r="I904" i="4"/>
  <c r="H904" i="4"/>
  <c r="K903" i="4"/>
  <c r="J903" i="4"/>
  <c r="I903" i="4"/>
  <c r="H903" i="4"/>
  <c r="K902" i="4"/>
  <c r="J902" i="4"/>
  <c r="I902" i="4"/>
  <c r="H902" i="4"/>
  <c r="K901" i="4"/>
  <c r="J901" i="4"/>
  <c r="I901" i="4"/>
  <c r="H901" i="4"/>
  <c r="K900" i="4"/>
  <c r="J900" i="4"/>
  <c r="I900" i="4"/>
  <c r="H900" i="4"/>
  <c r="K899" i="4"/>
  <c r="J899" i="4"/>
  <c r="I899" i="4"/>
  <c r="H899" i="4"/>
  <c r="K898" i="4"/>
  <c r="J898" i="4"/>
  <c r="I898" i="4"/>
  <c r="H898" i="4"/>
  <c r="K897" i="4"/>
  <c r="J897" i="4"/>
  <c r="I897" i="4"/>
  <c r="H897" i="4"/>
  <c r="K896" i="4"/>
  <c r="J896" i="4"/>
  <c r="I896" i="4"/>
  <c r="H896" i="4"/>
  <c r="K895" i="4"/>
  <c r="J895" i="4"/>
  <c r="I895" i="4"/>
  <c r="H895" i="4"/>
  <c r="K894" i="4"/>
  <c r="J894" i="4"/>
  <c r="I894" i="4"/>
  <c r="H894" i="4"/>
  <c r="K893" i="4"/>
  <c r="J893" i="4"/>
  <c r="I893" i="4"/>
  <c r="H893" i="4"/>
  <c r="K892" i="4"/>
  <c r="J892" i="4"/>
  <c r="I892" i="4"/>
  <c r="H892" i="4"/>
  <c r="K891" i="4"/>
  <c r="J891" i="4"/>
  <c r="I891" i="4"/>
  <c r="H891" i="4"/>
  <c r="K890" i="4"/>
  <c r="J890" i="4"/>
  <c r="I890" i="4"/>
  <c r="H890" i="4"/>
  <c r="K889" i="4"/>
  <c r="J889" i="4"/>
  <c r="I889" i="4"/>
  <c r="H889" i="4"/>
  <c r="K888" i="4"/>
  <c r="J888" i="4"/>
  <c r="I888" i="4"/>
  <c r="H888" i="4"/>
  <c r="K887" i="4"/>
  <c r="J887" i="4"/>
  <c r="I887" i="4"/>
  <c r="H887" i="4"/>
  <c r="K886" i="4"/>
  <c r="J886" i="4"/>
  <c r="I886" i="4"/>
  <c r="H886" i="4"/>
  <c r="K885" i="4"/>
  <c r="J885" i="4"/>
  <c r="I885" i="4"/>
  <c r="H885" i="4"/>
  <c r="K884" i="4"/>
  <c r="J884" i="4"/>
  <c r="I884" i="4"/>
  <c r="H884" i="4"/>
  <c r="K883" i="4"/>
  <c r="J883" i="4"/>
  <c r="I883" i="4"/>
  <c r="H883" i="4"/>
  <c r="K882" i="4"/>
  <c r="J882" i="4"/>
  <c r="I882" i="4"/>
  <c r="H882" i="4"/>
  <c r="K881" i="4"/>
  <c r="J881" i="4"/>
  <c r="I881" i="4"/>
  <c r="H881" i="4"/>
  <c r="K880" i="4"/>
  <c r="J880" i="4"/>
  <c r="I880" i="4"/>
  <c r="H880" i="4"/>
  <c r="K879" i="4"/>
  <c r="J879" i="4"/>
  <c r="I879" i="4"/>
  <c r="H879" i="4"/>
  <c r="K878" i="4"/>
  <c r="J878" i="4"/>
  <c r="I878" i="4"/>
  <c r="H878" i="4"/>
  <c r="K877" i="4"/>
  <c r="J877" i="4"/>
  <c r="I877" i="4"/>
  <c r="H877" i="4"/>
  <c r="K876" i="4"/>
  <c r="J876" i="4"/>
  <c r="I876" i="4"/>
  <c r="H876" i="4"/>
  <c r="K875" i="4"/>
  <c r="J875" i="4"/>
  <c r="I875" i="4"/>
  <c r="H875" i="4"/>
  <c r="K874" i="4"/>
  <c r="J874" i="4"/>
  <c r="I874" i="4"/>
  <c r="H874" i="4"/>
  <c r="K873" i="4"/>
  <c r="J873" i="4"/>
  <c r="I873" i="4"/>
  <c r="H873" i="4"/>
  <c r="K872" i="4"/>
  <c r="J872" i="4"/>
  <c r="I872" i="4"/>
  <c r="H872" i="4"/>
  <c r="K871" i="4"/>
  <c r="J871" i="4"/>
  <c r="I871" i="4"/>
  <c r="H871" i="4"/>
  <c r="K870" i="4"/>
  <c r="J870" i="4"/>
  <c r="I870" i="4"/>
  <c r="H870" i="4"/>
  <c r="K869" i="4"/>
  <c r="J869" i="4"/>
  <c r="I869" i="4"/>
  <c r="H869" i="4"/>
  <c r="K868" i="4"/>
  <c r="J868" i="4"/>
  <c r="I868" i="4"/>
  <c r="H868" i="4"/>
  <c r="K867" i="4"/>
  <c r="J867" i="4"/>
  <c r="I867" i="4"/>
  <c r="H867" i="4"/>
  <c r="K866" i="4"/>
  <c r="J866" i="4"/>
  <c r="I866" i="4"/>
  <c r="H866" i="4"/>
  <c r="K865" i="4"/>
  <c r="J865" i="4"/>
  <c r="I865" i="4"/>
  <c r="H865" i="4"/>
  <c r="K864" i="4"/>
  <c r="J864" i="4"/>
  <c r="I864" i="4"/>
  <c r="H864" i="4"/>
  <c r="K863" i="4"/>
  <c r="J863" i="4"/>
  <c r="I863" i="4"/>
  <c r="H863" i="4"/>
  <c r="K862" i="4"/>
  <c r="J862" i="4"/>
  <c r="I862" i="4"/>
  <c r="H862" i="4"/>
  <c r="K861" i="4"/>
  <c r="J861" i="4"/>
  <c r="I861" i="4"/>
  <c r="H861" i="4"/>
  <c r="K860" i="4"/>
  <c r="J860" i="4"/>
  <c r="I860" i="4"/>
  <c r="H860" i="4"/>
  <c r="K859" i="4"/>
  <c r="J859" i="4"/>
  <c r="I859" i="4"/>
  <c r="H859" i="4"/>
  <c r="K858" i="4"/>
  <c r="J858" i="4"/>
  <c r="I858" i="4"/>
  <c r="H858" i="4"/>
  <c r="K857" i="4"/>
  <c r="J857" i="4"/>
  <c r="I857" i="4"/>
  <c r="H857" i="4"/>
  <c r="K856" i="4"/>
  <c r="J856" i="4"/>
  <c r="I856" i="4"/>
  <c r="H856" i="4"/>
  <c r="K855" i="4"/>
  <c r="J855" i="4"/>
  <c r="I855" i="4"/>
  <c r="H855" i="4"/>
  <c r="K854" i="4"/>
  <c r="J854" i="4"/>
  <c r="I854" i="4"/>
  <c r="H854" i="4"/>
  <c r="K853" i="4"/>
  <c r="J853" i="4"/>
  <c r="I853" i="4"/>
  <c r="H853" i="4"/>
  <c r="K852" i="4"/>
  <c r="J852" i="4"/>
  <c r="I852" i="4"/>
  <c r="H852" i="4"/>
  <c r="K851" i="4"/>
  <c r="J851" i="4"/>
  <c r="I851" i="4"/>
  <c r="H851" i="4"/>
  <c r="K850" i="4"/>
  <c r="J850" i="4"/>
  <c r="I850" i="4"/>
  <c r="H850" i="4"/>
  <c r="K849" i="4"/>
  <c r="J849" i="4"/>
  <c r="I849" i="4"/>
  <c r="H849" i="4"/>
  <c r="K848" i="4"/>
  <c r="J848" i="4"/>
  <c r="I848" i="4"/>
  <c r="H848" i="4"/>
  <c r="K847" i="4"/>
  <c r="J847" i="4"/>
  <c r="I847" i="4"/>
  <c r="H847" i="4"/>
  <c r="K846" i="4"/>
  <c r="J846" i="4"/>
  <c r="I846" i="4"/>
  <c r="H846" i="4"/>
  <c r="K845" i="4"/>
  <c r="J845" i="4"/>
  <c r="I845" i="4"/>
  <c r="H845" i="4"/>
  <c r="K844" i="4"/>
  <c r="J844" i="4"/>
  <c r="I844" i="4"/>
  <c r="H844" i="4"/>
  <c r="K843" i="4"/>
  <c r="J843" i="4"/>
  <c r="I843" i="4"/>
  <c r="H843" i="4"/>
  <c r="K842" i="4"/>
  <c r="J842" i="4"/>
  <c r="I842" i="4"/>
  <c r="H842" i="4"/>
  <c r="K841" i="4"/>
  <c r="J841" i="4"/>
  <c r="I841" i="4"/>
  <c r="H841" i="4"/>
  <c r="K840" i="4"/>
  <c r="J840" i="4"/>
  <c r="I840" i="4"/>
  <c r="H840" i="4"/>
  <c r="K839" i="4"/>
  <c r="J839" i="4"/>
  <c r="I839" i="4"/>
  <c r="H839" i="4"/>
  <c r="K838" i="4"/>
  <c r="J838" i="4"/>
  <c r="I838" i="4"/>
  <c r="H838" i="4"/>
  <c r="K837" i="4"/>
  <c r="J837" i="4"/>
  <c r="I837" i="4"/>
  <c r="H837" i="4"/>
  <c r="K836" i="4"/>
  <c r="J836" i="4"/>
  <c r="I836" i="4"/>
  <c r="H836" i="4"/>
  <c r="K835" i="4"/>
  <c r="J835" i="4"/>
  <c r="I835" i="4"/>
  <c r="H835" i="4"/>
  <c r="K834" i="4"/>
  <c r="J834" i="4"/>
  <c r="I834" i="4"/>
  <c r="H834" i="4"/>
  <c r="K833" i="4"/>
  <c r="J833" i="4"/>
  <c r="I833" i="4"/>
  <c r="H833" i="4"/>
  <c r="K832" i="4"/>
  <c r="J832" i="4"/>
  <c r="I832" i="4"/>
  <c r="H832" i="4"/>
  <c r="K831" i="4"/>
  <c r="J831" i="4"/>
  <c r="I831" i="4"/>
  <c r="H831" i="4"/>
  <c r="K830" i="4"/>
  <c r="J830" i="4"/>
  <c r="I830" i="4"/>
  <c r="H830" i="4"/>
  <c r="K829" i="4"/>
  <c r="J829" i="4"/>
  <c r="I829" i="4"/>
  <c r="H829" i="4"/>
  <c r="K828" i="4"/>
  <c r="J828" i="4"/>
  <c r="I828" i="4"/>
  <c r="H828" i="4"/>
  <c r="K827" i="4"/>
  <c r="J827" i="4"/>
  <c r="I827" i="4"/>
  <c r="H827" i="4"/>
  <c r="K826" i="4"/>
  <c r="J826" i="4"/>
  <c r="I826" i="4"/>
  <c r="H826" i="4"/>
  <c r="K825" i="4"/>
  <c r="J825" i="4"/>
  <c r="I825" i="4"/>
  <c r="H825" i="4"/>
  <c r="K824" i="4"/>
  <c r="J824" i="4"/>
  <c r="I824" i="4"/>
  <c r="H824" i="4"/>
  <c r="K823" i="4"/>
  <c r="J823" i="4"/>
  <c r="I823" i="4"/>
  <c r="H823" i="4"/>
  <c r="K822" i="4"/>
  <c r="J822" i="4"/>
  <c r="I822" i="4"/>
  <c r="H822" i="4"/>
  <c r="K821" i="4"/>
  <c r="J821" i="4"/>
  <c r="I821" i="4"/>
  <c r="H821" i="4"/>
  <c r="K820" i="4"/>
  <c r="J820" i="4"/>
  <c r="I820" i="4"/>
  <c r="H820" i="4"/>
  <c r="K819" i="4"/>
  <c r="J819" i="4"/>
  <c r="I819" i="4"/>
  <c r="H819" i="4"/>
  <c r="K818" i="4"/>
  <c r="J818" i="4"/>
  <c r="I818" i="4"/>
  <c r="H818" i="4"/>
  <c r="K817" i="4"/>
  <c r="J817" i="4"/>
  <c r="I817" i="4"/>
  <c r="H817" i="4"/>
  <c r="K816" i="4"/>
  <c r="J816" i="4"/>
  <c r="I816" i="4"/>
  <c r="H816" i="4"/>
  <c r="K815" i="4"/>
  <c r="J815" i="4"/>
  <c r="I815" i="4"/>
  <c r="H815" i="4"/>
  <c r="K814" i="4"/>
  <c r="J814" i="4"/>
  <c r="I814" i="4"/>
  <c r="H814" i="4"/>
  <c r="K813" i="4"/>
  <c r="J813" i="4"/>
  <c r="I813" i="4"/>
  <c r="H813" i="4"/>
  <c r="K812" i="4"/>
  <c r="J812" i="4"/>
  <c r="I812" i="4"/>
  <c r="H812" i="4"/>
  <c r="K811" i="4"/>
  <c r="J811" i="4"/>
  <c r="I811" i="4"/>
  <c r="H811" i="4"/>
  <c r="K810" i="4"/>
  <c r="J810" i="4"/>
  <c r="I810" i="4"/>
  <c r="H810" i="4"/>
  <c r="K809" i="4"/>
  <c r="J809" i="4"/>
  <c r="I809" i="4"/>
  <c r="H809" i="4"/>
  <c r="K808" i="4"/>
  <c r="J808" i="4"/>
  <c r="I808" i="4"/>
  <c r="H808" i="4"/>
  <c r="K807" i="4"/>
  <c r="J807" i="4"/>
  <c r="I807" i="4"/>
  <c r="H807" i="4"/>
  <c r="K806" i="4"/>
  <c r="J806" i="4"/>
  <c r="I806" i="4"/>
  <c r="H806" i="4"/>
  <c r="K805" i="4"/>
  <c r="J805" i="4"/>
  <c r="I805" i="4"/>
  <c r="H805" i="4"/>
  <c r="K804" i="4"/>
  <c r="J804" i="4"/>
  <c r="I804" i="4"/>
  <c r="H804" i="4"/>
  <c r="K803" i="4"/>
  <c r="J803" i="4"/>
  <c r="I803" i="4"/>
  <c r="H803" i="4"/>
  <c r="K802" i="4"/>
  <c r="J802" i="4"/>
  <c r="I802" i="4"/>
  <c r="H802" i="4"/>
  <c r="K801" i="4"/>
  <c r="J801" i="4"/>
  <c r="I801" i="4"/>
  <c r="H801" i="4"/>
  <c r="K800" i="4"/>
  <c r="J800" i="4"/>
  <c r="I800" i="4"/>
  <c r="H800" i="4"/>
  <c r="K799" i="4"/>
  <c r="J799" i="4"/>
  <c r="I799" i="4"/>
  <c r="H799" i="4"/>
  <c r="K798" i="4"/>
  <c r="J798" i="4"/>
  <c r="I798" i="4"/>
  <c r="H798" i="4"/>
  <c r="K797" i="4"/>
  <c r="J797" i="4"/>
  <c r="I797" i="4"/>
  <c r="H797" i="4"/>
  <c r="K796" i="4"/>
  <c r="J796" i="4"/>
  <c r="I796" i="4"/>
  <c r="H796" i="4"/>
  <c r="K795" i="4"/>
  <c r="J795" i="4"/>
  <c r="I795" i="4"/>
  <c r="H795" i="4"/>
  <c r="K794" i="4"/>
  <c r="J794" i="4"/>
  <c r="I794" i="4"/>
  <c r="H794" i="4"/>
  <c r="K793" i="4"/>
  <c r="J793" i="4"/>
  <c r="I793" i="4"/>
  <c r="H793" i="4"/>
  <c r="K792" i="4"/>
  <c r="J792" i="4"/>
  <c r="I792" i="4"/>
  <c r="H792" i="4"/>
  <c r="K791" i="4"/>
  <c r="J791" i="4"/>
  <c r="I791" i="4"/>
  <c r="H791" i="4"/>
  <c r="K790" i="4"/>
  <c r="J790" i="4"/>
  <c r="I790" i="4"/>
  <c r="H790" i="4"/>
  <c r="K789" i="4"/>
  <c r="J789" i="4"/>
  <c r="I789" i="4"/>
  <c r="H789" i="4"/>
  <c r="K788" i="4"/>
  <c r="J788" i="4"/>
  <c r="I788" i="4"/>
  <c r="H788" i="4"/>
  <c r="K787" i="4"/>
  <c r="J787" i="4"/>
  <c r="I787" i="4"/>
  <c r="H787" i="4"/>
  <c r="K786" i="4"/>
  <c r="J786" i="4"/>
  <c r="I786" i="4"/>
  <c r="H786" i="4"/>
  <c r="K785" i="4"/>
  <c r="J785" i="4"/>
  <c r="I785" i="4"/>
  <c r="H785" i="4"/>
  <c r="K784" i="4"/>
  <c r="J784" i="4"/>
  <c r="I784" i="4"/>
  <c r="H784" i="4"/>
  <c r="K783" i="4"/>
  <c r="J783" i="4"/>
  <c r="I783" i="4"/>
  <c r="H783" i="4"/>
  <c r="K782" i="4"/>
  <c r="J782" i="4"/>
  <c r="I782" i="4"/>
  <c r="H782" i="4"/>
  <c r="K781" i="4"/>
  <c r="J781" i="4"/>
  <c r="I781" i="4"/>
  <c r="H781" i="4"/>
  <c r="K780" i="4"/>
  <c r="J780" i="4"/>
  <c r="I780" i="4"/>
  <c r="H780" i="4"/>
  <c r="K779" i="4"/>
  <c r="J779" i="4"/>
  <c r="I779" i="4"/>
  <c r="H779" i="4"/>
  <c r="K778" i="4"/>
  <c r="J778" i="4"/>
  <c r="I778" i="4"/>
  <c r="H778" i="4"/>
  <c r="K777" i="4"/>
  <c r="J777" i="4"/>
  <c r="I777" i="4"/>
  <c r="H777" i="4"/>
  <c r="K776" i="4"/>
  <c r="J776" i="4"/>
  <c r="I776" i="4"/>
  <c r="H776" i="4"/>
  <c r="K775" i="4"/>
  <c r="J775" i="4"/>
  <c r="I775" i="4"/>
  <c r="H775" i="4"/>
  <c r="K774" i="4"/>
  <c r="J774" i="4"/>
  <c r="I774" i="4"/>
  <c r="H774" i="4"/>
  <c r="K773" i="4"/>
  <c r="J773" i="4"/>
  <c r="I773" i="4"/>
  <c r="H773" i="4"/>
  <c r="K772" i="4"/>
  <c r="J772" i="4"/>
  <c r="I772" i="4"/>
  <c r="H772" i="4"/>
  <c r="K771" i="4"/>
  <c r="J771" i="4"/>
  <c r="I771" i="4"/>
  <c r="H771" i="4"/>
  <c r="K770" i="4"/>
  <c r="J770" i="4"/>
  <c r="I770" i="4"/>
  <c r="H770" i="4"/>
  <c r="K769" i="4"/>
  <c r="J769" i="4"/>
  <c r="I769" i="4"/>
  <c r="H769" i="4"/>
  <c r="K768" i="4"/>
  <c r="J768" i="4"/>
  <c r="I768" i="4"/>
  <c r="H768" i="4"/>
  <c r="K767" i="4"/>
  <c r="J767" i="4"/>
  <c r="I767" i="4"/>
  <c r="H767" i="4"/>
  <c r="K766" i="4"/>
  <c r="J766" i="4"/>
  <c r="I766" i="4"/>
  <c r="H766" i="4"/>
  <c r="K765" i="4"/>
  <c r="J765" i="4"/>
  <c r="I765" i="4"/>
  <c r="H765" i="4"/>
  <c r="K764" i="4"/>
  <c r="J764" i="4"/>
  <c r="I764" i="4"/>
  <c r="H764" i="4"/>
  <c r="K763" i="4"/>
  <c r="J763" i="4"/>
  <c r="I763" i="4"/>
  <c r="H763" i="4"/>
  <c r="K762" i="4"/>
  <c r="J762" i="4"/>
  <c r="I762" i="4"/>
  <c r="H762" i="4"/>
  <c r="K761" i="4"/>
  <c r="J761" i="4"/>
  <c r="I761" i="4"/>
  <c r="H761" i="4"/>
  <c r="K760" i="4"/>
  <c r="J760" i="4"/>
  <c r="I760" i="4"/>
  <c r="H760" i="4"/>
  <c r="K759" i="4"/>
  <c r="J759" i="4"/>
  <c r="I759" i="4"/>
  <c r="H759" i="4"/>
  <c r="K758" i="4"/>
  <c r="J758" i="4"/>
  <c r="I758" i="4"/>
  <c r="H758" i="4"/>
  <c r="K757" i="4"/>
  <c r="J757" i="4"/>
  <c r="I757" i="4"/>
  <c r="H757" i="4"/>
  <c r="K756" i="4"/>
  <c r="J756" i="4"/>
  <c r="I756" i="4"/>
  <c r="H756" i="4"/>
  <c r="K755" i="4"/>
  <c r="J755" i="4"/>
  <c r="I755" i="4"/>
  <c r="H755" i="4"/>
  <c r="K754" i="4"/>
  <c r="J754" i="4"/>
  <c r="I754" i="4"/>
  <c r="H754" i="4"/>
  <c r="K753" i="4"/>
  <c r="J753" i="4"/>
  <c r="I753" i="4"/>
  <c r="H753" i="4"/>
  <c r="K752" i="4"/>
  <c r="J752" i="4"/>
  <c r="I752" i="4"/>
  <c r="H752" i="4"/>
  <c r="K751" i="4"/>
  <c r="J751" i="4"/>
  <c r="I751" i="4"/>
  <c r="H751" i="4"/>
  <c r="K750" i="4"/>
  <c r="J750" i="4"/>
  <c r="I750" i="4"/>
  <c r="H750" i="4"/>
  <c r="K749" i="4"/>
  <c r="J749" i="4"/>
  <c r="I749" i="4"/>
  <c r="H749" i="4"/>
  <c r="K748" i="4"/>
  <c r="J748" i="4"/>
  <c r="I748" i="4"/>
  <c r="H748" i="4"/>
  <c r="K747" i="4"/>
  <c r="J747" i="4"/>
  <c r="I747" i="4"/>
  <c r="H747" i="4"/>
  <c r="K746" i="4"/>
  <c r="J746" i="4"/>
  <c r="I746" i="4"/>
  <c r="H746" i="4"/>
  <c r="K745" i="4"/>
  <c r="J745" i="4"/>
  <c r="I745" i="4"/>
  <c r="H745" i="4"/>
  <c r="K744" i="4"/>
  <c r="J744" i="4"/>
  <c r="I744" i="4"/>
  <c r="H744" i="4"/>
  <c r="K743" i="4"/>
  <c r="J743" i="4"/>
  <c r="I743" i="4"/>
  <c r="H743" i="4"/>
  <c r="K742" i="4"/>
  <c r="J742" i="4"/>
  <c r="I742" i="4"/>
  <c r="H742" i="4"/>
  <c r="K741" i="4"/>
  <c r="J741" i="4"/>
  <c r="I741" i="4"/>
  <c r="H741" i="4"/>
  <c r="K740" i="4"/>
  <c r="J740" i="4"/>
  <c r="I740" i="4"/>
  <c r="H740" i="4"/>
  <c r="K739" i="4"/>
  <c r="J739" i="4"/>
  <c r="I739" i="4"/>
  <c r="H739" i="4"/>
  <c r="K738" i="4"/>
  <c r="J738" i="4"/>
  <c r="I738" i="4"/>
  <c r="H738" i="4"/>
  <c r="K737" i="4"/>
  <c r="J737" i="4"/>
  <c r="I737" i="4"/>
  <c r="H737" i="4"/>
  <c r="K736" i="4"/>
  <c r="J736" i="4"/>
  <c r="I736" i="4"/>
  <c r="H736" i="4"/>
  <c r="K735" i="4"/>
  <c r="J735" i="4"/>
  <c r="I735" i="4"/>
  <c r="H735" i="4"/>
  <c r="K734" i="4"/>
  <c r="J734" i="4"/>
  <c r="I734" i="4"/>
  <c r="H734" i="4"/>
  <c r="K733" i="4"/>
  <c r="J733" i="4"/>
  <c r="I733" i="4"/>
  <c r="H733" i="4"/>
  <c r="K732" i="4"/>
  <c r="J732" i="4"/>
  <c r="I732" i="4"/>
  <c r="H732" i="4"/>
  <c r="K731" i="4"/>
  <c r="J731" i="4"/>
  <c r="I731" i="4"/>
  <c r="H731" i="4"/>
  <c r="K730" i="4"/>
  <c r="J730" i="4"/>
  <c r="I730" i="4"/>
  <c r="H730" i="4"/>
  <c r="K729" i="4"/>
  <c r="J729" i="4"/>
  <c r="I729" i="4"/>
  <c r="H729" i="4"/>
  <c r="K728" i="4"/>
  <c r="J728" i="4"/>
  <c r="I728" i="4"/>
  <c r="H728" i="4"/>
  <c r="K727" i="4"/>
  <c r="J727" i="4"/>
  <c r="I727" i="4"/>
  <c r="H727" i="4"/>
  <c r="K726" i="4"/>
  <c r="J726" i="4"/>
  <c r="I726" i="4"/>
  <c r="H726" i="4"/>
  <c r="K725" i="4"/>
  <c r="J725" i="4"/>
  <c r="I725" i="4"/>
  <c r="H725" i="4"/>
  <c r="K724" i="4"/>
  <c r="J724" i="4"/>
  <c r="I724" i="4"/>
  <c r="H724" i="4"/>
  <c r="K723" i="4"/>
  <c r="J723" i="4"/>
  <c r="I723" i="4"/>
  <c r="H723" i="4"/>
  <c r="K722" i="4"/>
  <c r="J722" i="4"/>
  <c r="I722" i="4"/>
  <c r="H722" i="4"/>
  <c r="K721" i="4"/>
  <c r="J721" i="4"/>
  <c r="I721" i="4"/>
  <c r="H721" i="4"/>
  <c r="K720" i="4"/>
  <c r="J720" i="4"/>
  <c r="I720" i="4"/>
  <c r="H720" i="4"/>
  <c r="K719" i="4"/>
  <c r="J719" i="4"/>
  <c r="I719" i="4"/>
  <c r="H719" i="4"/>
  <c r="K718" i="4"/>
  <c r="J718" i="4"/>
  <c r="I718" i="4"/>
  <c r="H718" i="4"/>
  <c r="K717" i="4"/>
  <c r="J717" i="4"/>
  <c r="I717" i="4"/>
  <c r="H717" i="4"/>
  <c r="K716" i="4"/>
  <c r="J716" i="4"/>
  <c r="I716" i="4"/>
  <c r="H716" i="4"/>
  <c r="K715" i="4"/>
  <c r="J715" i="4"/>
  <c r="I715" i="4"/>
  <c r="H715" i="4"/>
  <c r="K714" i="4"/>
  <c r="J714" i="4"/>
  <c r="I714" i="4"/>
  <c r="H714" i="4"/>
  <c r="K713" i="4"/>
  <c r="J713" i="4"/>
  <c r="I713" i="4"/>
  <c r="H713" i="4"/>
  <c r="K712" i="4"/>
  <c r="J712" i="4"/>
  <c r="I712" i="4"/>
  <c r="H712" i="4"/>
  <c r="K711" i="4"/>
  <c r="J711" i="4"/>
  <c r="I711" i="4"/>
  <c r="H711" i="4"/>
  <c r="K710" i="4"/>
  <c r="J710" i="4"/>
  <c r="I710" i="4"/>
  <c r="H710" i="4"/>
  <c r="K709" i="4"/>
  <c r="J709" i="4"/>
  <c r="I709" i="4"/>
  <c r="H709" i="4"/>
  <c r="K708" i="4"/>
  <c r="J708" i="4"/>
  <c r="I708" i="4"/>
  <c r="H708" i="4"/>
  <c r="K707" i="4"/>
  <c r="J707" i="4"/>
  <c r="I707" i="4"/>
  <c r="H707" i="4"/>
  <c r="K706" i="4"/>
  <c r="J706" i="4"/>
  <c r="I706" i="4"/>
  <c r="H706" i="4"/>
  <c r="K705" i="4"/>
  <c r="J705" i="4"/>
  <c r="I705" i="4"/>
  <c r="H705" i="4"/>
  <c r="K704" i="4"/>
  <c r="J704" i="4"/>
  <c r="I704" i="4"/>
  <c r="H704" i="4"/>
  <c r="K703" i="4"/>
  <c r="J703" i="4"/>
  <c r="I703" i="4"/>
  <c r="H703" i="4"/>
  <c r="K702" i="4"/>
  <c r="J702" i="4"/>
  <c r="I702" i="4"/>
  <c r="H702" i="4"/>
  <c r="K701" i="4"/>
  <c r="J701" i="4"/>
  <c r="I701" i="4"/>
  <c r="H701" i="4"/>
  <c r="K700" i="4"/>
  <c r="J700" i="4"/>
  <c r="I700" i="4"/>
  <c r="H700" i="4"/>
  <c r="K699" i="4"/>
  <c r="J699" i="4"/>
  <c r="I699" i="4"/>
  <c r="H699" i="4"/>
  <c r="K698" i="4"/>
  <c r="J698" i="4"/>
  <c r="I698" i="4"/>
  <c r="H698" i="4"/>
  <c r="K697" i="4"/>
  <c r="J697" i="4"/>
  <c r="I697" i="4"/>
  <c r="H697" i="4"/>
  <c r="K696" i="4"/>
  <c r="J696" i="4"/>
  <c r="I696" i="4"/>
  <c r="H696" i="4"/>
  <c r="K695" i="4"/>
  <c r="J695" i="4"/>
  <c r="I695" i="4"/>
  <c r="H695" i="4"/>
  <c r="K694" i="4"/>
  <c r="J694" i="4"/>
  <c r="I694" i="4"/>
  <c r="H694" i="4"/>
  <c r="K693" i="4"/>
  <c r="J693" i="4"/>
  <c r="I693" i="4"/>
  <c r="H693" i="4"/>
  <c r="K692" i="4"/>
  <c r="J692" i="4"/>
  <c r="I692" i="4"/>
  <c r="H692" i="4"/>
  <c r="K691" i="4"/>
  <c r="J691" i="4"/>
  <c r="I691" i="4"/>
  <c r="H691" i="4"/>
  <c r="K690" i="4"/>
  <c r="J690" i="4"/>
  <c r="I690" i="4"/>
  <c r="H690" i="4"/>
  <c r="K689" i="4"/>
  <c r="J689" i="4"/>
  <c r="I689" i="4"/>
  <c r="H689" i="4"/>
  <c r="K688" i="4"/>
  <c r="J688" i="4"/>
  <c r="I688" i="4"/>
  <c r="H688" i="4"/>
  <c r="K687" i="4"/>
  <c r="J687" i="4"/>
  <c r="I687" i="4"/>
  <c r="H687" i="4"/>
  <c r="K686" i="4"/>
  <c r="J686" i="4"/>
  <c r="I686" i="4"/>
  <c r="H686" i="4"/>
  <c r="K685" i="4"/>
  <c r="J685" i="4"/>
  <c r="I685" i="4"/>
  <c r="H685" i="4"/>
  <c r="K684" i="4"/>
  <c r="J684" i="4"/>
  <c r="I684" i="4"/>
  <c r="H684" i="4"/>
  <c r="K683" i="4"/>
  <c r="J683" i="4"/>
  <c r="I683" i="4"/>
  <c r="H683" i="4"/>
  <c r="K682" i="4"/>
  <c r="J682" i="4"/>
  <c r="I682" i="4"/>
  <c r="H682" i="4"/>
  <c r="K681" i="4"/>
  <c r="J681" i="4"/>
  <c r="I681" i="4"/>
  <c r="H681" i="4"/>
  <c r="K680" i="4"/>
  <c r="J680" i="4"/>
  <c r="I680" i="4"/>
  <c r="H680" i="4"/>
  <c r="K679" i="4"/>
  <c r="J679" i="4"/>
  <c r="I679" i="4"/>
  <c r="H679" i="4"/>
  <c r="K678" i="4"/>
  <c r="J678" i="4"/>
  <c r="I678" i="4"/>
  <c r="H678" i="4"/>
  <c r="K677" i="4"/>
  <c r="J677" i="4"/>
  <c r="I677" i="4"/>
  <c r="H677" i="4"/>
  <c r="K676" i="4"/>
  <c r="J676" i="4"/>
  <c r="I676" i="4"/>
  <c r="H676" i="4"/>
  <c r="K675" i="4"/>
  <c r="J675" i="4"/>
  <c r="I675" i="4"/>
  <c r="H675" i="4"/>
  <c r="K674" i="4"/>
  <c r="J674" i="4"/>
  <c r="I674" i="4"/>
  <c r="H674" i="4"/>
  <c r="K673" i="4"/>
  <c r="J673" i="4"/>
  <c r="I673" i="4"/>
  <c r="H673" i="4"/>
  <c r="K672" i="4"/>
  <c r="J672" i="4"/>
  <c r="I672" i="4"/>
  <c r="H672" i="4"/>
  <c r="K671" i="4"/>
  <c r="J671" i="4"/>
  <c r="I671" i="4"/>
  <c r="H671" i="4"/>
  <c r="K670" i="4"/>
  <c r="J670" i="4"/>
  <c r="I670" i="4"/>
  <c r="H670" i="4"/>
  <c r="K669" i="4"/>
  <c r="J669" i="4"/>
  <c r="I669" i="4"/>
  <c r="H669" i="4"/>
  <c r="K668" i="4"/>
  <c r="J668" i="4"/>
  <c r="I668" i="4"/>
  <c r="H668" i="4"/>
  <c r="K667" i="4"/>
  <c r="J667" i="4"/>
  <c r="I667" i="4"/>
  <c r="H667" i="4"/>
  <c r="K666" i="4"/>
  <c r="J666" i="4"/>
  <c r="I666" i="4"/>
  <c r="H666" i="4"/>
  <c r="K665" i="4"/>
  <c r="J665" i="4"/>
  <c r="I665" i="4"/>
  <c r="H665" i="4"/>
  <c r="K664" i="4"/>
  <c r="J664" i="4"/>
  <c r="I664" i="4"/>
  <c r="H664" i="4"/>
  <c r="K663" i="4"/>
  <c r="J663" i="4"/>
  <c r="I663" i="4"/>
  <c r="H663" i="4"/>
  <c r="K662" i="4"/>
  <c r="J662" i="4"/>
  <c r="I662" i="4"/>
  <c r="H662" i="4"/>
  <c r="K661" i="4"/>
  <c r="J661" i="4"/>
  <c r="I661" i="4"/>
  <c r="H661" i="4"/>
  <c r="K660" i="4"/>
  <c r="J660" i="4"/>
  <c r="I660" i="4"/>
  <c r="H660" i="4"/>
  <c r="K659" i="4"/>
  <c r="J659" i="4"/>
  <c r="I659" i="4"/>
  <c r="H659" i="4"/>
  <c r="K658" i="4"/>
  <c r="J658" i="4"/>
  <c r="I658" i="4"/>
  <c r="H658" i="4"/>
  <c r="K657" i="4"/>
  <c r="J657" i="4"/>
  <c r="I657" i="4"/>
  <c r="H657" i="4"/>
  <c r="K656" i="4"/>
  <c r="J656" i="4"/>
  <c r="I656" i="4"/>
  <c r="H656" i="4"/>
  <c r="K655" i="4"/>
  <c r="J655" i="4"/>
  <c r="I655" i="4"/>
  <c r="H655" i="4"/>
  <c r="K654" i="4"/>
  <c r="J654" i="4"/>
  <c r="I654" i="4"/>
  <c r="H654" i="4"/>
  <c r="K653" i="4"/>
  <c r="J653" i="4"/>
  <c r="I653" i="4"/>
  <c r="H653" i="4"/>
  <c r="K652" i="4"/>
  <c r="J652" i="4"/>
  <c r="I652" i="4"/>
  <c r="H652" i="4"/>
  <c r="K651" i="4"/>
  <c r="J651" i="4"/>
  <c r="I651" i="4"/>
  <c r="H651" i="4"/>
  <c r="K650" i="4"/>
  <c r="J650" i="4"/>
  <c r="I650" i="4"/>
  <c r="H650" i="4"/>
  <c r="K649" i="4"/>
  <c r="J649" i="4"/>
  <c r="I649" i="4"/>
  <c r="H649" i="4"/>
  <c r="K648" i="4"/>
  <c r="J648" i="4"/>
  <c r="I648" i="4"/>
  <c r="H648" i="4"/>
  <c r="K647" i="4"/>
  <c r="J647" i="4"/>
  <c r="I647" i="4"/>
  <c r="H647" i="4"/>
  <c r="K646" i="4"/>
  <c r="J646" i="4"/>
  <c r="I646" i="4"/>
  <c r="H646" i="4"/>
  <c r="K645" i="4"/>
  <c r="J645" i="4"/>
  <c r="I645" i="4"/>
  <c r="H645" i="4"/>
  <c r="K644" i="4"/>
  <c r="J644" i="4"/>
  <c r="I644" i="4"/>
  <c r="H644" i="4"/>
  <c r="K643" i="4"/>
  <c r="J643" i="4"/>
  <c r="I643" i="4"/>
  <c r="H643" i="4"/>
  <c r="K642" i="4"/>
  <c r="J642" i="4"/>
  <c r="I642" i="4"/>
  <c r="H642" i="4"/>
  <c r="K641" i="4"/>
  <c r="J641" i="4"/>
  <c r="I641" i="4"/>
  <c r="H641" i="4"/>
  <c r="K640" i="4"/>
  <c r="J640" i="4"/>
  <c r="I640" i="4"/>
  <c r="H640" i="4"/>
  <c r="K639" i="4"/>
  <c r="J639" i="4"/>
  <c r="I639" i="4"/>
  <c r="H639" i="4"/>
  <c r="K638" i="4"/>
  <c r="J638" i="4"/>
  <c r="I638" i="4"/>
  <c r="H638" i="4"/>
  <c r="K637" i="4"/>
  <c r="J637" i="4"/>
  <c r="I637" i="4"/>
  <c r="H637" i="4"/>
  <c r="K636" i="4"/>
  <c r="J636" i="4"/>
  <c r="I636" i="4"/>
  <c r="H636" i="4"/>
  <c r="K635" i="4"/>
  <c r="J635" i="4"/>
  <c r="I635" i="4"/>
  <c r="H635" i="4"/>
  <c r="K634" i="4"/>
  <c r="J634" i="4"/>
  <c r="I634" i="4"/>
  <c r="H634" i="4"/>
  <c r="K633" i="4"/>
  <c r="J633" i="4"/>
  <c r="I633" i="4"/>
  <c r="H633" i="4"/>
  <c r="K632" i="4"/>
  <c r="J632" i="4"/>
  <c r="I632" i="4"/>
  <c r="H632" i="4"/>
  <c r="K631" i="4"/>
  <c r="J631" i="4"/>
  <c r="I631" i="4"/>
  <c r="H631" i="4"/>
  <c r="K630" i="4"/>
  <c r="J630" i="4"/>
  <c r="I630" i="4"/>
  <c r="H630" i="4"/>
  <c r="K629" i="4"/>
  <c r="J629" i="4"/>
  <c r="I629" i="4"/>
  <c r="H629" i="4"/>
  <c r="K628" i="4"/>
  <c r="J628" i="4"/>
  <c r="I628" i="4"/>
  <c r="H628" i="4"/>
  <c r="K627" i="4"/>
  <c r="J627" i="4"/>
  <c r="I627" i="4"/>
  <c r="H627" i="4"/>
  <c r="K626" i="4"/>
  <c r="J626" i="4"/>
  <c r="I626" i="4"/>
  <c r="H626" i="4"/>
  <c r="K625" i="4"/>
  <c r="J625" i="4"/>
  <c r="I625" i="4"/>
  <c r="H625" i="4"/>
  <c r="K624" i="4"/>
  <c r="J624" i="4"/>
  <c r="I624" i="4"/>
  <c r="H624" i="4"/>
  <c r="K623" i="4"/>
  <c r="J623" i="4"/>
  <c r="I623" i="4"/>
  <c r="H623" i="4"/>
  <c r="K622" i="4"/>
  <c r="J622" i="4"/>
  <c r="I622" i="4"/>
  <c r="H622" i="4"/>
  <c r="K621" i="4"/>
  <c r="J621" i="4"/>
  <c r="I621" i="4"/>
  <c r="H621" i="4"/>
  <c r="K620" i="4"/>
  <c r="J620" i="4"/>
  <c r="I620" i="4"/>
  <c r="H620" i="4"/>
  <c r="K619" i="4"/>
  <c r="J619" i="4"/>
  <c r="I619" i="4"/>
  <c r="H619" i="4"/>
  <c r="K618" i="4"/>
  <c r="J618" i="4"/>
  <c r="I618" i="4"/>
  <c r="H618" i="4"/>
  <c r="K617" i="4"/>
  <c r="J617" i="4"/>
  <c r="I617" i="4"/>
  <c r="H617" i="4"/>
  <c r="K616" i="4"/>
  <c r="J616" i="4"/>
  <c r="I616" i="4"/>
  <c r="H616" i="4"/>
  <c r="K615" i="4"/>
  <c r="J615" i="4"/>
  <c r="I615" i="4"/>
  <c r="H615" i="4"/>
  <c r="K614" i="4"/>
  <c r="J614" i="4"/>
  <c r="I614" i="4"/>
  <c r="H614" i="4"/>
  <c r="K613" i="4"/>
  <c r="J613" i="4"/>
  <c r="I613" i="4"/>
  <c r="H613" i="4"/>
  <c r="K612" i="4"/>
  <c r="J612" i="4"/>
  <c r="I612" i="4"/>
  <c r="H612" i="4"/>
  <c r="K611" i="4"/>
  <c r="J611" i="4"/>
  <c r="I611" i="4"/>
  <c r="H611" i="4"/>
  <c r="K610" i="4"/>
  <c r="J610" i="4"/>
  <c r="I610" i="4"/>
  <c r="H610" i="4"/>
  <c r="K609" i="4"/>
  <c r="J609" i="4"/>
  <c r="I609" i="4"/>
  <c r="H609" i="4"/>
  <c r="K608" i="4"/>
  <c r="J608" i="4"/>
  <c r="I608" i="4"/>
  <c r="H608" i="4"/>
  <c r="K607" i="4"/>
  <c r="J607" i="4"/>
  <c r="I607" i="4"/>
  <c r="H607" i="4"/>
  <c r="K606" i="4"/>
  <c r="J606" i="4"/>
  <c r="I606" i="4"/>
  <c r="H606" i="4"/>
  <c r="K605" i="4"/>
  <c r="J605" i="4"/>
  <c r="I605" i="4"/>
  <c r="H605" i="4"/>
  <c r="K604" i="4"/>
  <c r="J604" i="4"/>
  <c r="I604" i="4"/>
  <c r="H604" i="4"/>
  <c r="K603" i="4"/>
  <c r="J603" i="4"/>
  <c r="I603" i="4"/>
  <c r="H603" i="4"/>
  <c r="K602" i="4"/>
  <c r="J602" i="4"/>
  <c r="I602" i="4"/>
  <c r="H602" i="4"/>
  <c r="K601" i="4"/>
  <c r="J601" i="4"/>
  <c r="I601" i="4"/>
  <c r="H601" i="4"/>
  <c r="K600" i="4"/>
  <c r="J600" i="4"/>
  <c r="I600" i="4"/>
  <c r="H600" i="4"/>
  <c r="K599" i="4"/>
  <c r="J599" i="4"/>
  <c r="I599" i="4"/>
  <c r="H599" i="4"/>
  <c r="K598" i="4"/>
  <c r="J598" i="4"/>
  <c r="I598" i="4"/>
  <c r="H598" i="4"/>
  <c r="K597" i="4"/>
  <c r="J597" i="4"/>
  <c r="I597" i="4"/>
  <c r="H597" i="4"/>
  <c r="K596" i="4"/>
  <c r="J596" i="4"/>
  <c r="I596" i="4"/>
  <c r="H596" i="4"/>
  <c r="K595" i="4"/>
  <c r="J595" i="4"/>
  <c r="I595" i="4"/>
  <c r="H595" i="4"/>
  <c r="K594" i="4"/>
  <c r="J594" i="4"/>
  <c r="I594" i="4"/>
  <c r="H594" i="4"/>
  <c r="K593" i="4"/>
  <c r="J593" i="4"/>
  <c r="I593" i="4"/>
  <c r="H593" i="4"/>
  <c r="K592" i="4"/>
  <c r="J592" i="4"/>
  <c r="I592" i="4"/>
  <c r="H592" i="4"/>
  <c r="K591" i="4"/>
  <c r="J591" i="4"/>
  <c r="I591" i="4"/>
  <c r="H591" i="4"/>
  <c r="K590" i="4"/>
  <c r="J590" i="4"/>
  <c r="I590" i="4"/>
  <c r="H590" i="4"/>
  <c r="K589" i="4"/>
  <c r="J589" i="4"/>
  <c r="I589" i="4"/>
  <c r="H589" i="4"/>
  <c r="K588" i="4"/>
  <c r="J588" i="4"/>
  <c r="I588" i="4"/>
  <c r="H588" i="4"/>
  <c r="K587" i="4"/>
  <c r="J587" i="4"/>
  <c r="I587" i="4"/>
  <c r="H587" i="4"/>
  <c r="K586" i="4"/>
  <c r="J586" i="4"/>
  <c r="I586" i="4"/>
  <c r="H586" i="4"/>
  <c r="K585" i="4"/>
  <c r="J585" i="4"/>
  <c r="I585" i="4"/>
  <c r="H585" i="4"/>
  <c r="K584" i="4"/>
  <c r="J584" i="4"/>
  <c r="I584" i="4"/>
  <c r="H584" i="4"/>
  <c r="K583" i="4"/>
  <c r="J583" i="4"/>
  <c r="I583" i="4"/>
  <c r="H583" i="4"/>
  <c r="K582" i="4"/>
  <c r="J582" i="4"/>
  <c r="I582" i="4"/>
  <c r="H582" i="4"/>
  <c r="K581" i="4"/>
  <c r="J581" i="4"/>
  <c r="I581" i="4"/>
  <c r="H581" i="4"/>
  <c r="K580" i="4"/>
  <c r="J580" i="4"/>
  <c r="I580" i="4"/>
  <c r="H580" i="4"/>
  <c r="K579" i="4"/>
  <c r="J579" i="4"/>
  <c r="I579" i="4"/>
  <c r="H579" i="4"/>
  <c r="K578" i="4"/>
  <c r="J578" i="4"/>
  <c r="I578" i="4"/>
  <c r="H578" i="4"/>
  <c r="K577" i="4"/>
  <c r="J577" i="4"/>
  <c r="I577" i="4"/>
  <c r="H577" i="4"/>
  <c r="K576" i="4"/>
  <c r="J576" i="4"/>
  <c r="I576" i="4"/>
  <c r="H576" i="4"/>
  <c r="K575" i="4"/>
  <c r="J575" i="4"/>
  <c r="I575" i="4"/>
  <c r="H575" i="4"/>
  <c r="K574" i="4"/>
  <c r="J574" i="4"/>
  <c r="I574" i="4"/>
  <c r="H574" i="4"/>
  <c r="K573" i="4"/>
  <c r="J573" i="4"/>
  <c r="I573" i="4"/>
  <c r="H573" i="4"/>
  <c r="K572" i="4"/>
  <c r="J572" i="4"/>
  <c r="I572" i="4"/>
  <c r="H572" i="4"/>
  <c r="K571" i="4"/>
  <c r="J571" i="4"/>
  <c r="I571" i="4"/>
  <c r="H571" i="4"/>
  <c r="K570" i="4"/>
  <c r="J570" i="4"/>
  <c r="I570" i="4"/>
  <c r="H570" i="4"/>
  <c r="K569" i="4"/>
  <c r="J569" i="4"/>
  <c r="I569" i="4"/>
  <c r="H569" i="4"/>
  <c r="K568" i="4"/>
  <c r="J568" i="4"/>
  <c r="I568" i="4"/>
  <c r="H568" i="4"/>
  <c r="K567" i="4"/>
  <c r="J567" i="4"/>
  <c r="I567" i="4"/>
  <c r="H567" i="4"/>
  <c r="K566" i="4"/>
  <c r="J566" i="4"/>
  <c r="I566" i="4"/>
  <c r="H566" i="4"/>
  <c r="K565" i="4"/>
  <c r="J565" i="4"/>
  <c r="I565" i="4"/>
  <c r="H565" i="4"/>
  <c r="K564" i="4"/>
  <c r="J564" i="4"/>
  <c r="I564" i="4"/>
  <c r="H564" i="4"/>
  <c r="K563" i="4"/>
  <c r="J563" i="4"/>
  <c r="I563" i="4"/>
  <c r="H563" i="4"/>
  <c r="K562" i="4"/>
  <c r="J562" i="4"/>
  <c r="I562" i="4"/>
  <c r="H562" i="4"/>
  <c r="K561" i="4"/>
  <c r="J561" i="4"/>
  <c r="I561" i="4"/>
  <c r="H561" i="4"/>
  <c r="K560" i="4"/>
  <c r="J560" i="4"/>
  <c r="I560" i="4"/>
  <c r="H560" i="4"/>
  <c r="K559" i="4"/>
  <c r="J559" i="4"/>
  <c r="I559" i="4"/>
  <c r="H559" i="4"/>
  <c r="K558" i="4"/>
  <c r="J558" i="4"/>
  <c r="I558" i="4"/>
  <c r="H558" i="4"/>
  <c r="K557" i="4"/>
  <c r="J557" i="4"/>
  <c r="I557" i="4"/>
  <c r="H557" i="4"/>
  <c r="K556" i="4"/>
  <c r="J556" i="4"/>
  <c r="I556" i="4"/>
  <c r="H556" i="4"/>
  <c r="K555" i="4"/>
  <c r="J555" i="4"/>
  <c r="I555" i="4"/>
  <c r="H555" i="4"/>
  <c r="K554" i="4"/>
  <c r="J554" i="4"/>
  <c r="I554" i="4"/>
  <c r="H554" i="4"/>
  <c r="K553" i="4"/>
  <c r="J553" i="4"/>
  <c r="I553" i="4"/>
  <c r="H553" i="4"/>
  <c r="K552" i="4"/>
  <c r="J552" i="4"/>
  <c r="I552" i="4"/>
  <c r="H552" i="4"/>
  <c r="K551" i="4"/>
  <c r="J551" i="4"/>
  <c r="I551" i="4"/>
  <c r="H551" i="4"/>
  <c r="K550" i="4"/>
  <c r="J550" i="4"/>
  <c r="I550" i="4"/>
  <c r="H550" i="4"/>
  <c r="K549" i="4"/>
  <c r="J549" i="4"/>
  <c r="I549" i="4"/>
  <c r="H549" i="4"/>
  <c r="K548" i="4"/>
  <c r="J548" i="4"/>
  <c r="I548" i="4"/>
  <c r="H548" i="4"/>
  <c r="K547" i="4"/>
  <c r="J547" i="4"/>
  <c r="I547" i="4"/>
  <c r="H547" i="4"/>
  <c r="K546" i="4"/>
  <c r="J546" i="4"/>
  <c r="I546" i="4"/>
  <c r="H546" i="4"/>
  <c r="K545" i="4"/>
  <c r="J545" i="4"/>
  <c r="I545" i="4"/>
  <c r="H545" i="4"/>
  <c r="K544" i="4"/>
  <c r="J544" i="4"/>
  <c r="I544" i="4"/>
  <c r="H544" i="4"/>
  <c r="K543" i="4"/>
  <c r="J543" i="4"/>
  <c r="I543" i="4"/>
  <c r="H543" i="4"/>
  <c r="K542" i="4"/>
  <c r="J542" i="4"/>
  <c r="I542" i="4"/>
  <c r="H542" i="4"/>
  <c r="K541" i="4"/>
  <c r="J541" i="4"/>
  <c r="I541" i="4"/>
  <c r="H541" i="4"/>
  <c r="K540" i="4"/>
  <c r="J540" i="4"/>
  <c r="I540" i="4"/>
  <c r="H540" i="4"/>
  <c r="K539" i="4"/>
  <c r="J539" i="4"/>
  <c r="I539" i="4"/>
  <c r="H539" i="4"/>
  <c r="K538" i="4"/>
  <c r="J538" i="4"/>
  <c r="I538" i="4"/>
  <c r="H538" i="4"/>
  <c r="K537" i="4"/>
  <c r="J537" i="4"/>
  <c r="I537" i="4"/>
  <c r="H537" i="4"/>
  <c r="K536" i="4"/>
  <c r="J536" i="4"/>
  <c r="I536" i="4"/>
  <c r="H536" i="4"/>
  <c r="K535" i="4"/>
  <c r="J535" i="4"/>
  <c r="I535" i="4"/>
  <c r="H535" i="4"/>
  <c r="K534" i="4"/>
  <c r="J534" i="4"/>
  <c r="I534" i="4"/>
  <c r="H534" i="4"/>
  <c r="K533" i="4"/>
  <c r="J533" i="4"/>
  <c r="I533" i="4"/>
  <c r="H533" i="4"/>
  <c r="K532" i="4"/>
  <c r="J532" i="4"/>
  <c r="I532" i="4"/>
  <c r="H532" i="4"/>
  <c r="K531" i="4"/>
  <c r="J531" i="4"/>
  <c r="I531" i="4"/>
  <c r="H531" i="4"/>
  <c r="K530" i="4"/>
  <c r="J530" i="4"/>
  <c r="I530" i="4"/>
  <c r="H530" i="4"/>
  <c r="K529" i="4"/>
  <c r="J529" i="4"/>
  <c r="I529" i="4"/>
  <c r="H529" i="4"/>
  <c r="K528" i="4"/>
  <c r="J528" i="4"/>
  <c r="I528" i="4"/>
  <c r="H528" i="4"/>
  <c r="K527" i="4"/>
  <c r="J527" i="4"/>
  <c r="I527" i="4"/>
  <c r="H527" i="4"/>
  <c r="K526" i="4"/>
  <c r="J526" i="4"/>
  <c r="I526" i="4"/>
  <c r="H526" i="4"/>
  <c r="K525" i="4"/>
  <c r="J525" i="4"/>
  <c r="I525" i="4"/>
  <c r="H525" i="4"/>
  <c r="K524" i="4"/>
  <c r="J524" i="4"/>
  <c r="I524" i="4"/>
  <c r="H524" i="4"/>
  <c r="K523" i="4"/>
  <c r="J523" i="4"/>
  <c r="I523" i="4"/>
  <c r="H523" i="4"/>
  <c r="K522" i="4"/>
  <c r="J522" i="4"/>
  <c r="I522" i="4"/>
  <c r="H522" i="4"/>
  <c r="K521" i="4"/>
  <c r="J521" i="4"/>
  <c r="I521" i="4"/>
  <c r="H521" i="4"/>
  <c r="K520" i="4"/>
  <c r="J520" i="4"/>
  <c r="I520" i="4"/>
  <c r="H520" i="4"/>
  <c r="K519" i="4"/>
  <c r="J519" i="4"/>
  <c r="I519" i="4"/>
  <c r="H519" i="4"/>
  <c r="K518" i="4"/>
  <c r="J518" i="4"/>
  <c r="I518" i="4"/>
  <c r="H518" i="4"/>
  <c r="K517" i="4"/>
  <c r="J517" i="4"/>
  <c r="I517" i="4"/>
  <c r="H517" i="4"/>
  <c r="K516" i="4"/>
  <c r="J516" i="4"/>
  <c r="I516" i="4"/>
  <c r="H516" i="4"/>
  <c r="K515" i="4"/>
  <c r="J515" i="4"/>
  <c r="I515" i="4"/>
  <c r="H515" i="4"/>
  <c r="K514" i="4"/>
  <c r="J514" i="4"/>
  <c r="I514" i="4"/>
  <c r="H514" i="4"/>
  <c r="K513" i="4"/>
  <c r="J513" i="4"/>
  <c r="I513" i="4"/>
  <c r="H513" i="4"/>
  <c r="K512" i="4"/>
  <c r="J512" i="4"/>
  <c r="I512" i="4"/>
  <c r="H512" i="4"/>
  <c r="K511" i="4"/>
  <c r="J511" i="4"/>
  <c r="I511" i="4"/>
  <c r="H511" i="4"/>
  <c r="K510" i="4"/>
  <c r="J510" i="4"/>
  <c r="I510" i="4"/>
  <c r="H510" i="4"/>
  <c r="K509" i="4"/>
  <c r="J509" i="4"/>
  <c r="I509" i="4"/>
  <c r="H509" i="4"/>
  <c r="K508" i="4"/>
  <c r="J508" i="4"/>
  <c r="I508" i="4"/>
  <c r="H508" i="4"/>
  <c r="K507" i="4"/>
  <c r="J507" i="4"/>
  <c r="I507" i="4"/>
  <c r="H507" i="4"/>
  <c r="K506" i="4"/>
  <c r="J506" i="4"/>
  <c r="I506" i="4"/>
  <c r="H506" i="4"/>
  <c r="K505" i="4"/>
  <c r="J505" i="4"/>
  <c r="I505" i="4"/>
  <c r="H505" i="4"/>
  <c r="K504" i="4"/>
  <c r="J504" i="4"/>
  <c r="I504" i="4"/>
  <c r="H504" i="4"/>
  <c r="K503" i="4"/>
  <c r="J503" i="4"/>
  <c r="I503" i="4"/>
  <c r="H503" i="4"/>
  <c r="K502" i="4"/>
  <c r="J502" i="4"/>
  <c r="I502" i="4"/>
  <c r="H502" i="4"/>
  <c r="K501" i="4"/>
  <c r="J501" i="4"/>
  <c r="I501" i="4"/>
  <c r="H501" i="4"/>
  <c r="K500" i="4"/>
  <c r="J500" i="4"/>
  <c r="I500" i="4"/>
  <c r="H500" i="4"/>
  <c r="K499" i="4"/>
  <c r="J499" i="4"/>
  <c r="I499" i="4"/>
  <c r="H499" i="4"/>
  <c r="K498" i="4"/>
  <c r="J498" i="4"/>
  <c r="I498" i="4"/>
  <c r="H498" i="4"/>
  <c r="K497" i="4"/>
  <c r="J497" i="4"/>
  <c r="I497" i="4"/>
  <c r="H497" i="4"/>
  <c r="K496" i="4"/>
  <c r="J496" i="4"/>
  <c r="I496" i="4"/>
  <c r="H496" i="4"/>
  <c r="K495" i="4"/>
  <c r="J495" i="4"/>
  <c r="I495" i="4"/>
  <c r="H495" i="4"/>
  <c r="K494" i="4"/>
  <c r="J494" i="4"/>
  <c r="I494" i="4"/>
  <c r="H494" i="4"/>
  <c r="K493" i="4"/>
  <c r="J493" i="4"/>
  <c r="I493" i="4"/>
  <c r="H493" i="4"/>
  <c r="K492" i="4"/>
  <c r="J492" i="4"/>
  <c r="I492" i="4"/>
  <c r="H492" i="4"/>
  <c r="K491" i="4"/>
  <c r="J491" i="4"/>
  <c r="I491" i="4"/>
  <c r="H491" i="4"/>
  <c r="K490" i="4"/>
  <c r="J490" i="4"/>
  <c r="I490" i="4"/>
  <c r="H490" i="4"/>
  <c r="K489" i="4"/>
  <c r="J489" i="4"/>
  <c r="I489" i="4"/>
  <c r="H489" i="4"/>
  <c r="K488" i="4"/>
  <c r="J488" i="4"/>
  <c r="I488" i="4"/>
  <c r="H488" i="4"/>
  <c r="K487" i="4"/>
  <c r="J487" i="4"/>
  <c r="I487" i="4"/>
  <c r="H487" i="4"/>
  <c r="K486" i="4"/>
  <c r="J486" i="4"/>
  <c r="I486" i="4"/>
  <c r="H486" i="4"/>
  <c r="K485" i="4"/>
  <c r="J485" i="4"/>
  <c r="I485" i="4"/>
  <c r="H485" i="4"/>
  <c r="K484" i="4"/>
  <c r="J484" i="4"/>
  <c r="I484" i="4"/>
  <c r="H484" i="4"/>
  <c r="K483" i="4"/>
  <c r="J483" i="4"/>
  <c r="I483" i="4"/>
  <c r="H483" i="4"/>
  <c r="K482" i="4"/>
  <c r="J482" i="4"/>
  <c r="I482" i="4"/>
  <c r="H482" i="4"/>
  <c r="K481" i="4"/>
  <c r="J481" i="4"/>
  <c r="I481" i="4"/>
  <c r="H481" i="4"/>
  <c r="K480" i="4"/>
  <c r="J480" i="4"/>
  <c r="I480" i="4"/>
  <c r="H480" i="4"/>
  <c r="K479" i="4"/>
  <c r="J479" i="4"/>
  <c r="I479" i="4"/>
  <c r="H479" i="4"/>
  <c r="K478" i="4"/>
  <c r="J478" i="4"/>
  <c r="I478" i="4"/>
  <c r="H478" i="4"/>
  <c r="K477" i="4"/>
  <c r="J477" i="4"/>
  <c r="I477" i="4"/>
  <c r="H477" i="4"/>
  <c r="K476" i="4"/>
  <c r="J476" i="4"/>
  <c r="I476" i="4"/>
  <c r="H476" i="4"/>
  <c r="K475" i="4"/>
  <c r="J475" i="4"/>
  <c r="I475" i="4"/>
  <c r="H475" i="4"/>
  <c r="K474" i="4"/>
  <c r="J474" i="4"/>
  <c r="I474" i="4"/>
  <c r="H474" i="4"/>
  <c r="K473" i="4"/>
  <c r="J473" i="4"/>
  <c r="I473" i="4"/>
  <c r="H473" i="4"/>
  <c r="K472" i="4"/>
  <c r="J472" i="4"/>
  <c r="I472" i="4"/>
  <c r="H472" i="4"/>
  <c r="K471" i="4"/>
  <c r="J471" i="4"/>
  <c r="I471" i="4"/>
  <c r="H471" i="4"/>
  <c r="K470" i="4"/>
  <c r="J470" i="4"/>
  <c r="I470" i="4"/>
  <c r="H470" i="4"/>
  <c r="K469" i="4"/>
  <c r="J469" i="4"/>
  <c r="I469" i="4"/>
  <c r="H469" i="4"/>
  <c r="K468" i="4"/>
  <c r="J468" i="4"/>
  <c r="I468" i="4"/>
  <c r="H468" i="4"/>
  <c r="K467" i="4"/>
  <c r="J467" i="4"/>
  <c r="I467" i="4"/>
  <c r="H467" i="4"/>
  <c r="K466" i="4"/>
  <c r="J466" i="4"/>
  <c r="I466" i="4"/>
  <c r="H466" i="4"/>
  <c r="K465" i="4"/>
  <c r="J465" i="4"/>
  <c r="I465" i="4"/>
  <c r="H465" i="4"/>
  <c r="K464" i="4"/>
  <c r="J464" i="4"/>
  <c r="I464" i="4"/>
  <c r="H464" i="4"/>
  <c r="K463" i="4"/>
  <c r="J463" i="4"/>
  <c r="I463" i="4"/>
  <c r="H463" i="4"/>
  <c r="K462" i="4"/>
  <c r="J462" i="4"/>
  <c r="I462" i="4"/>
  <c r="H462" i="4"/>
  <c r="K461" i="4"/>
  <c r="J461" i="4"/>
  <c r="I461" i="4"/>
  <c r="H461" i="4"/>
  <c r="K460" i="4"/>
  <c r="J460" i="4"/>
  <c r="I460" i="4"/>
  <c r="H460" i="4"/>
  <c r="K459" i="4"/>
  <c r="J459" i="4"/>
  <c r="I459" i="4"/>
  <c r="H459" i="4"/>
  <c r="K458" i="4"/>
  <c r="J458" i="4"/>
  <c r="I458" i="4"/>
  <c r="H458" i="4"/>
  <c r="K457" i="4"/>
  <c r="J457" i="4"/>
  <c r="I457" i="4"/>
  <c r="H457" i="4"/>
  <c r="K456" i="4"/>
  <c r="J456" i="4"/>
  <c r="I456" i="4"/>
  <c r="H456" i="4"/>
  <c r="K455" i="4"/>
  <c r="J455" i="4"/>
  <c r="I455" i="4"/>
  <c r="H455" i="4"/>
  <c r="K454" i="4"/>
  <c r="J454" i="4"/>
  <c r="I454" i="4"/>
  <c r="H454" i="4"/>
  <c r="K453" i="4"/>
  <c r="J453" i="4"/>
  <c r="I453" i="4"/>
  <c r="H453" i="4"/>
  <c r="K452" i="4"/>
  <c r="J452" i="4"/>
  <c r="I452" i="4"/>
  <c r="H452" i="4"/>
  <c r="K451" i="4"/>
  <c r="J451" i="4"/>
  <c r="I451" i="4"/>
  <c r="H451" i="4"/>
  <c r="K450" i="4"/>
  <c r="J450" i="4"/>
  <c r="I450" i="4"/>
  <c r="H450" i="4"/>
  <c r="K449" i="4"/>
  <c r="J449" i="4"/>
  <c r="I449" i="4"/>
  <c r="H449" i="4"/>
  <c r="K448" i="4"/>
  <c r="J448" i="4"/>
  <c r="I448" i="4"/>
  <c r="H448" i="4"/>
  <c r="K447" i="4"/>
  <c r="J447" i="4"/>
  <c r="I447" i="4"/>
  <c r="H447" i="4"/>
  <c r="K446" i="4"/>
  <c r="J446" i="4"/>
  <c r="I446" i="4"/>
  <c r="H446" i="4"/>
  <c r="K445" i="4"/>
  <c r="J445" i="4"/>
  <c r="I445" i="4"/>
  <c r="H445" i="4"/>
  <c r="K444" i="4"/>
  <c r="J444" i="4"/>
  <c r="I444" i="4"/>
  <c r="H444" i="4"/>
  <c r="K443" i="4"/>
  <c r="J443" i="4"/>
  <c r="I443" i="4"/>
  <c r="H443" i="4"/>
  <c r="K442" i="4"/>
  <c r="J442" i="4"/>
  <c r="I442" i="4"/>
  <c r="H442" i="4"/>
  <c r="K441" i="4"/>
  <c r="J441" i="4"/>
  <c r="I441" i="4"/>
  <c r="H441" i="4"/>
  <c r="K440" i="4"/>
  <c r="J440" i="4"/>
  <c r="I440" i="4"/>
  <c r="H440" i="4"/>
  <c r="K439" i="4"/>
  <c r="J439" i="4"/>
  <c r="I439" i="4"/>
  <c r="H439" i="4"/>
  <c r="K438" i="4"/>
  <c r="J438" i="4"/>
  <c r="I438" i="4"/>
  <c r="H438" i="4"/>
  <c r="K437" i="4"/>
  <c r="J437" i="4"/>
  <c r="I437" i="4"/>
  <c r="H437" i="4"/>
  <c r="K436" i="4"/>
  <c r="J436" i="4"/>
  <c r="I436" i="4"/>
  <c r="H436" i="4"/>
  <c r="K435" i="4"/>
  <c r="J435" i="4"/>
  <c r="I435" i="4"/>
  <c r="H435" i="4"/>
  <c r="K434" i="4"/>
  <c r="J434" i="4"/>
  <c r="I434" i="4"/>
  <c r="H434" i="4"/>
  <c r="K433" i="4"/>
  <c r="J433" i="4"/>
  <c r="I433" i="4"/>
  <c r="H433" i="4"/>
  <c r="K432" i="4"/>
  <c r="J432" i="4"/>
  <c r="I432" i="4"/>
  <c r="H432" i="4"/>
  <c r="K431" i="4"/>
  <c r="J431" i="4"/>
  <c r="I431" i="4"/>
  <c r="H431" i="4"/>
  <c r="K430" i="4"/>
  <c r="J430" i="4"/>
  <c r="I430" i="4"/>
  <c r="H430" i="4"/>
  <c r="K429" i="4"/>
  <c r="J429" i="4"/>
  <c r="I429" i="4"/>
  <c r="H429" i="4"/>
  <c r="K428" i="4"/>
  <c r="J428" i="4"/>
  <c r="I428" i="4"/>
  <c r="H428" i="4"/>
  <c r="K427" i="4"/>
  <c r="J427" i="4"/>
  <c r="I427" i="4"/>
  <c r="H427" i="4"/>
  <c r="K426" i="4"/>
  <c r="J426" i="4"/>
  <c r="I426" i="4"/>
  <c r="H426" i="4"/>
  <c r="K425" i="4"/>
  <c r="J425" i="4"/>
  <c r="I425" i="4"/>
  <c r="H425" i="4"/>
  <c r="K424" i="4"/>
  <c r="J424" i="4"/>
  <c r="I424" i="4"/>
  <c r="H424" i="4"/>
  <c r="K423" i="4"/>
  <c r="J423" i="4"/>
  <c r="I423" i="4"/>
  <c r="H423" i="4"/>
  <c r="K422" i="4"/>
  <c r="J422" i="4"/>
  <c r="I422" i="4"/>
  <c r="H422" i="4"/>
  <c r="K421" i="4"/>
  <c r="J421" i="4"/>
  <c r="I421" i="4"/>
  <c r="H421" i="4"/>
  <c r="K420" i="4"/>
  <c r="J420" i="4"/>
  <c r="I420" i="4"/>
  <c r="H420" i="4"/>
  <c r="K419" i="4"/>
  <c r="J419" i="4"/>
  <c r="I419" i="4"/>
  <c r="H419" i="4"/>
  <c r="K418" i="4"/>
  <c r="J418" i="4"/>
  <c r="I418" i="4"/>
  <c r="H418" i="4"/>
  <c r="K417" i="4"/>
  <c r="J417" i="4"/>
  <c r="I417" i="4"/>
  <c r="H417" i="4"/>
  <c r="K416" i="4"/>
  <c r="J416" i="4"/>
  <c r="I416" i="4"/>
  <c r="H416" i="4"/>
  <c r="K415" i="4"/>
  <c r="J415" i="4"/>
  <c r="I415" i="4"/>
  <c r="H415" i="4"/>
  <c r="K414" i="4"/>
  <c r="J414" i="4"/>
  <c r="I414" i="4"/>
  <c r="H414" i="4"/>
  <c r="K413" i="4"/>
  <c r="J413" i="4"/>
  <c r="I413" i="4"/>
  <c r="H413" i="4"/>
  <c r="K412" i="4"/>
  <c r="J412" i="4"/>
  <c r="I412" i="4"/>
  <c r="H412" i="4"/>
  <c r="K411" i="4"/>
  <c r="J411" i="4"/>
  <c r="I411" i="4"/>
  <c r="H411" i="4"/>
  <c r="K410" i="4"/>
  <c r="J410" i="4"/>
  <c r="I410" i="4"/>
  <c r="H410" i="4"/>
  <c r="K409" i="4"/>
  <c r="J409" i="4"/>
  <c r="I409" i="4"/>
  <c r="H409" i="4"/>
  <c r="K408" i="4"/>
  <c r="J408" i="4"/>
  <c r="I408" i="4"/>
  <c r="H408" i="4"/>
  <c r="K407" i="4"/>
  <c r="J407" i="4"/>
  <c r="I407" i="4"/>
  <c r="H407" i="4"/>
  <c r="K406" i="4"/>
  <c r="J406" i="4"/>
  <c r="I406" i="4"/>
  <c r="H406" i="4"/>
  <c r="K405" i="4"/>
  <c r="J405" i="4"/>
  <c r="I405" i="4"/>
  <c r="H405" i="4"/>
  <c r="K404" i="4"/>
  <c r="J404" i="4"/>
  <c r="I404" i="4"/>
  <c r="H404" i="4"/>
  <c r="K403" i="4"/>
  <c r="J403" i="4"/>
  <c r="I403" i="4"/>
  <c r="H403" i="4"/>
  <c r="K402" i="4"/>
  <c r="J402" i="4"/>
  <c r="I402" i="4"/>
  <c r="H402" i="4"/>
  <c r="K401" i="4"/>
  <c r="J401" i="4"/>
  <c r="I401" i="4"/>
  <c r="H401" i="4"/>
  <c r="K400" i="4"/>
  <c r="J400" i="4"/>
  <c r="I400" i="4"/>
  <c r="H400" i="4"/>
  <c r="K399" i="4"/>
  <c r="J399" i="4"/>
  <c r="I399" i="4"/>
  <c r="H399" i="4"/>
  <c r="K398" i="4"/>
  <c r="J398" i="4"/>
  <c r="I398" i="4"/>
  <c r="H398" i="4"/>
  <c r="K397" i="4"/>
  <c r="J397" i="4"/>
  <c r="I397" i="4"/>
  <c r="H397" i="4"/>
  <c r="K396" i="4"/>
  <c r="J396" i="4"/>
  <c r="I396" i="4"/>
  <c r="H396" i="4"/>
  <c r="K395" i="4"/>
  <c r="J395" i="4"/>
  <c r="I395" i="4"/>
  <c r="H395" i="4"/>
  <c r="K394" i="4"/>
  <c r="J394" i="4"/>
  <c r="I394" i="4"/>
  <c r="H394" i="4"/>
  <c r="K393" i="4"/>
  <c r="J393" i="4"/>
  <c r="I393" i="4"/>
  <c r="H393" i="4"/>
  <c r="K392" i="4"/>
  <c r="J392" i="4"/>
  <c r="I392" i="4"/>
  <c r="H392" i="4"/>
  <c r="K391" i="4"/>
  <c r="J391" i="4"/>
  <c r="I391" i="4"/>
  <c r="H391" i="4"/>
  <c r="K390" i="4"/>
  <c r="J390" i="4"/>
  <c r="I390" i="4"/>
  <c r="H390" i="4"/>
  <c r="K389" i="4"/>
  <c r="J389" i="4"/>
  <c r="I389" i="4"/>
  <c r="H389" i="4"/>
  <c r="K388" i="4"/>
  <c r="J388" i="4"/>
  <c r="I388" i="4"/>
  <c r="H388" i="4"/>
  <c r="K387" i="4"/>
  <c r="J387" i="4"/>
  <c r="I387" i="4"/>
  <c r="H387" i="4"/>
  <c r="K386" i="4"/>
  <c r="J386" i="4"/>
  <c r="I386" i="4"/>
  <c r="H386" i="4"/>
  <c r="K385" i="4"/>
  <c r="J385" i="4"/>
  <c r="I385" i="4"/>
  <c r="H385" i="4"/>
  <c r="K384" i="4"/>
  <c r="J384" i="4"/>
  <c r="I384" i="4"/>
  <c r="H384" i="4"/>
  <c r="K383" i="4"/>
  <c r="J383" i="4"/>
  <c r="I383" i="4"/>
  <c r="H383" i="4"/>
  <c r="K382" i="4"/>
  <c r="J382" i="4"/>
  <c r="I382" i="4"/>
  <c r="H382" i="4"/>
  <c r="K381" i="4"/>
  <c r="J381" i="4"/>
  <c r="I381" i="4"/>
  <c r="H381" i="4"/>
  <c r="K380" i="4"/>
  <c r="J380" i="4"/>
  <c r="I380" i="4"/>
  <c r="H380" i="4"/>
  <c r="K379" i="4"/>
  <c r="J379" i="4"/>
  <c r="I379" i="4"/>
  <c r="H379" i="4"/>
  <c r="K378" i="4"/>
  <c r="J378" i="4"/>
  <c r="I378" i="4"/>
  <c r="H378" i="4"/>
  <c r="K377" i="4"/>
  <c r="J377" i="4"/>
  <c r="I377" i="4"/>
  <c r="H377" i="4"/>
  <c r="K376" i="4"/>
  <c r="J376" i="4"/>
  <c r="I376" i="4"/>
  <c r="H376" i="4"/>
  <c r="K375" i="4"/>
  <c r="J375" i="4"/>
  <c r="I375" i="4"/>
  <c r="H375" i="4"/>
  <c r="K374" i="4"/>
  <c r="J374" i="4"/>
  <c r="I374" i="4"/>
  <c r="H374" i="4"/>
  <c r="K373" i="4"/>
  <c r="J373" i="4"/>
  <c r="I373" i="4"/>
  <c r="H373" i="4"/>
  <c r="K372" i="4"/>
  <c r="J372" i="4"/>
  <c r="I372" i="4"/>
  <c r="H372" i="4"/>
  <c r="K371" i="4"/>
  <c r="J371" i="4"/>
  <c r="I371" i="4"/>
  <c r="H371" i="4"/>
  <c r="K370" i="4"/>
  <c r="J370" i="4"/>
  <c r="I370" i="4"/>
  <c r="H370" i="4"/>
  <c r="K369" i="4"/>
  <c r="J369" i="4"/>
  <c r="I369" i="4"/>
  <c r="H369" i="4"/>
  <c r="K368" i="4"/>
  <c r="J368" i="4"/>
  <c r="I368" i="4"/>
  <c r="H368" i="4"/>
  <c r="K367" i="4"/>
  <c r="J367" i="4"/>
  <c r="I367" i="4"/>
  <c r="H367" i="4"/>
  <c r="K366" i="4"/>
  <c r="J366" i="4"/>
  <c r="I366" i="4"/>
  <c r="H366" i="4"/>
  <c r="K365" i="4"/>
  <c r="J365" i="4"/>
  <c r="I365" i="4"/>
  <c r="H365" i="4"/>
  <c r="K364" i="4"/>
  <c r="J364" i="4"/>
  <c r="I364" i="4"/>
  <c r="H364" i="4"/>
  <c r="K363" i="4"/>
  <c r="J363" i="4"/>
  <c r="I363" i="4"/>
  <c r="H363" i="4"/>
  <c r="K362" i="4"/>
  <c r="J362" i="4"/>
  <c r="I362" i="4"/>
  <c r="H362" i="4"/>
  <c r="K361" i="4"/>
  <c r="J361" i="4"/>
  <c r="I361" i="4"/>
  <c r="H361" i="4"/>
  <c r="K360" i="4"/>
  <c r="J360" i="4"/>
  <c r="I360" i="4"/>
  <c r="H360" i="4"/>
  <c r="K359" i="4"/>
  <c r="J359" i="4"/>
  <c r="I359" i="4"/>
  <c r="H359" i="4"/>
  <c r="K358" i="4"/>
  <c r="J358" i="4"/>
  <c r="I358" i="4"/>
  <c r="H358" i="4"/>
  <c r="K357" i="4"/>
  <c r="J357" i="4"/>
  <c r="I357" i="4"/>
  <c r="H357" i="4"/>
  <c r="K356" i="4"/>
  <c r="J356" i="4"/>
  <c r="I356" i="4"/>
  <c r="H356" i="4"/>
  <c r="K355" i="4"/>
  <c r="J355" i="4"/>
  <c r="I355" i="4"/>
  <c r="H355" i="4"/>
  <c r="K354" i="4"/>
  <c r="J354" i="4"/>
  <c r="I354" i="4"/>
  <c r="H354" i="4"/>
  <c r="K353" i="4"/>
  <c r="J353" i="4"/>
  <c r="I353" i="4"/>
  <c r="H353" i="4"/>
  <c r="K352" i="4"/>
  <c r="J352" i="4"/>
  <c r="I352" i="4"/>
  <c r="H352" i="4"/>
  <c r="K351" i="4"/>
  <c r="J351" i="4"/>
  <c r="I351" i="4"/>
  <c r="H351" i="4"/>
  <c r="K350" i="4"/>
  <c r="J350" i="4"/>
  <c r="I350" i="4"/>
  <c r="H350" i="4"/>
  <c r="K349" i="4"/>
  <c r="J349" i="4"/>
  <c r="I349" i="4"/>
  <c r="H349" i="4"/>
  <c r="K348" i="4"/>
  <c r="J348" i="4"/>
  <c r="I348" i="4"/>
  <c r="H348" i="4"/>
  <c r="K347" i="4"/>
  <c r="J347" i="4"/>
  <c r="I347" i="4"/>
  <c r="H347" i="4"/>
  <c r="K346" i="4"/>
  <c r="J346" i="4"/>
  <c r="I346" i="4"/>
  <c r="H346" i="4"/>
  <c r="K345" i="4"/>
  <c r="J345" i="4"/>
  <c r="I345" i="4"/>
  <c r="H345" i="4"/>
  <c r="K344" i="4"/>
  <c r="J344" i="4"/>
  <c r="I344" i="4"/>
  <c r="H344" i="4"/>
  <c r="K343" i="4"/>
  <c r="J343" i="4"/>
  <c r="I343" i="4"/>
  <c r="H343" i="4"/>
  <c r="K342" i="4"/>
  <c r="J342" i="4"/>
  <c r="I342" i="4"/>
  <c r="H342" i="4"/>
  <c r="K341" i="4"/>
  <c r="J341" i="4"/>
  <c r="I341" i="4"/>
  <c r="H341" i="4"/>
  <c r="K340" i="4"/>
  <c r="J340" i="4"/>
  <c r="I340" i="4"/>
  <c r="H340" i="4"/>
  <c r="K339" i="4"/>
  <c r="J339" i="4"/>
  <c r="I339" i="4"/>
  <c r="H339" i="4"/>
  <c r="K338" i="4"/>
  <c r="J338" i="4"/>
  <c r="I338" i="4"/>
  <c r="H338" i="4"/>
  <c r="K337" i="4"/>
  <c r="J337" i="4"/>
  <c r="I337" i="4"/>
  <c r="H337" i="4"/>
  <c r="K336" i="4"/>
  <c r="J336" i="4"/>
  <c r="I336" i="4"/>
  <c r="H336" i="4"/>
  <c r="K335" i="4"/>
  <c r="J335" i="4"/>
  <c r="I335" i="4"/>
  <c r="H335" i="4"/>
  <c r="K334" i="4"/>
  <c r="J334" i="4"/>
  <c r="I334" i="4"/>
  <c r="H334" i="4"/>
  <c r="K333" i="4"/>
  <c r="J333" i="4"/>
  <c r="I333" i="4"/>
  <c r="H333" i="4"/>
  <c r="K332" i="4"/>
  <c r="J332" i="4"/>
  <c r="I332" i="4"/>
  <c r="H332" i="4"/>
  <c r="K331" i="4"/>
  <c r="J331" i="4"/>
  <c r="I331" i="4"/>
  <c r="H331" i="4"/>
  <c r="K330" i="4"/>
  <c r="J330" i="4"/>
  <c r="I330" i="4"/>
  <c r="H330" i="4"/>
  <c r="K329" i="4"/>
  <c r="J329" i="4"/>
  <c r="I329" i="4"/>
  <c r="H329" i="4"/>
  <c r="K328" i="4"/>
  <c r="J328" i="4"/>
  <c r="I328" i="4"/>
  <c r="H328" i="4"/>
  <c r="K327" i="4"/>
  <c r="J327" i="4"/>
  <c r="I327" i="4"/>
  <c r="H327" i="4"/>
  <c r="K326" i="4"/>
  <c r="J326" i="4"/>
  <c r="I326" i="4"/>
  <c r="H326" i="4"/>
  <c r="K325" i="4"/>
  <c r="J325" i="4"/>
  <c r="I325" i="4"/>
  <c r="H325" i="4"/>
  <c r="K324" i="4"/>
  <c r="J324" i="4"/>
  <c r="I324" i="4"/>
  <c r="H324" i="4"/>
  <c r="K323" i="4"/>
  <c r="J323" i="4"/>
  <c r="I323" i="4"/>
  <c r="H323" i="4"/>
  <c r="K322" i="4"/>
  <c r="J322" i="4"/>
  <c r="I322" i="4"/>
  <c r="H322" i="4"/>
  <c r="K321" i="4"/>
  <c r="J321" i="4"/>
  <c r="I321" i="4"/>
  <c r="H321" i="4"/>
  <c r="K320" i="4"/>
  <c r="J320" i="4"/>
  <c r="I320" i="4"/>
  <c r="H320" i="4"/>
  <c r="K319" i="4"/>
  <c r="J319" i="4"/>
  <c r="I319" i="4"/>
  <c r="H319" i="4"/>
  <c r="K318" i="4"/>
  <c r="J318" i="4"/>
  <c r="I318" i="4"/>
  <c r="H318" i="4"/>
  <c r="K317" i="4"/>
  <c r="J317" i="4"/>
  <c r="I317" i="4"/>
  <c r="H317" i="4"/>
  <c r="K316" i="4"/>
  <c r="J316" i="4"/>
  <c r="I316" i="4"/>
  <c r="H316" i="4"/>
  <c r="K315" i="4"/>
  <c r="J315" i="4"/>
  <c r="I315" i="4"/>
  <c r="H315" i="4"/>
  <c r="K314" i="4"/>
  <c r="J314" i="4"/>
  <c r="I314" i="4"/>
  <c r="H314" i="4"/>
  <c r="K313" i="4"/>
  <c r="J313" i="4"/>
  <c r="I313" i="4"/>
  <c r="H313" i="4"/>
  <c r="K312" i="4"/>
  <c r="J312" i="4"/>
  <c r="I312" i="4"/>
  <c r="H312" i="4"/>
  <c r="K311" i="4"/>
  <c r="J311" i="4"/>
  <c r="I311" i="4"/>
  <c r="H311" i="4"/>
  <c r="K310" i="4"/>
  <c r="J310" i="4"/>
  <c r="I310" i="4"/>
  <c r="H310" i="4"/>
  <c r="K309" i="4"/>
  <c r="J309" i="4"/>
  <c r="I309" i="4"/>
  <c r="H309" i="4"/>
  <c r="K308" i="4"/>
  <c r="J308" i="4"/>
  <c r="I308" i="4"/>
  <c r="H308" i="4"/>
  <c r="K307" i="4"/>
  <c r="J307" i="4"/>
  <c r="I307" i="4"/>
  <c r="H307" i="4"/>
  <c r="K306" i="4"/>
  <c r="J306" i="4"/>
  <c r="I306" i="4"/>
  <c r="H306" i="4"/>
  <c r="K305" i="4"/>
  <c r="J305" i="4"/>
  <c r="I305" i="4"/>
  <c r="H305" i="4"/>
  <c r="K304" i="4"/>
  <c r="J304" i="4"/>
  <c r="I304" i="4"/>
  <c r="H304" i="4"/>
  <c r="K303" i="4"/>
  <c r="J303" i="4"/>
  <c r="I303" i="4"/>
  <c r="H303" i="4"/>
  <c r="K302" i="4"/>
  <c r="J302" i="4"/>
  <c r="I302" i="4"/>
  <c r="H302" i="4"/>
  <c r="K301" i="4"/>
  <c r="J301" i="4"/>
  <c r="I301" i="4"/>
  <c r="H301" i="4"/>
  <c r="K300" i="4"/>
  <c r="J300" i="4"/>
  <c r="I300" i="4"/>
  <c r="H300" i="4"/>
  <c r="K299" i="4"/>
  <c r="J299" i="4"/>
  <c r="I299" i="4"/>
  <c r="H299" i="4"/>
  <c r="K298" i="4"/>
  <c r="J298" i="4"/>
  <c r="I298" i="4"/>
  <c r="H298" i="4"/>
  <c r="K297" i="4"/>
  <c r="J297" i="4"/>
  <c r="I297" i="4"/>
  <c r="H297" i="4"/>
  <c r="K296" i="4"/>
  <c r="J296" i="4"/>
  <c r="I296" i="4"/>
  <c r="H296" i="4"/>
  <c r="K295" i="4"/>
  <c r="J295" i="4"/>
  <c r="I295" i="4"/>
  <c r="H295" i="4"/>
  <c r="K294" i="4"/>
  <c r="J294" i="4"/>
  <c r="I294" i="4"/>
  <c r="H294" i="4"/>
  <c r="K293" i="4"/>
  <c r="J293" i="4"/>
  <c r="I293" i="4"/>
  <c r="H293" i="4"/>
  <c r="K292" i="4"/>
  <c r="J292" i="4"/>
  <c r="I292" i="4"/>
  <c r="H292" i="4"/>
  <c r="K291" i="4"/>
  <c r="J291" i="4"/>
  <c r="I291" i="4"/>
  <c r="H291" i="4"/>
  <c r="K290" i="4"/>
  <c r="J290" i="4"/>
  <c r="I290" i="4"/>
  <c r="H290" i="4"/>
  <c r="K289" i="4"/>
  <c r="J289" i="4"/>
  <c r="I289" i="4"/>
  <c r="H289" i="4"/>
  <c r="K288" i="4"/>
  <c r="J288" i="4"/>
  <c r="I288" i="4"/>
  <c r="H288" i="4"/>
  <c r="K287" i="4"/>
  <c r="J287" i="4"/>
  <c r="I287" i="4"/>
  <c r="H287" i="4"/>
  <c r="K286" i="4"/>
  <c r="J286" i="4"/>
  <c r="I286" i="4"/>
  <c r="H286" i="4"/>
  <c r="K285" i="4"/>
  <c r="J285" i="4"/>
  <c r="I285" i="4"/>
  <c r="H285" i="4"/>
  <c r="K284" i="4"/>
  <c r="J284" i="4"/>
  <c r="I284" i="4"/>
  <c r="H284" i="4"/>
  <c r="K283" i="4"/>
  <c r="J283" i="4"/>
  <c r="I283" i="4"/>
  <c r="H283" i="4"/>
  <c r="K282" i="4"/>
  <c r="J282" i="4"/>
  <c r="I282" i="4"/>
  <c r="H282" i="4"/>
  <c r="K281" i="4"/>
  <c r="J281" i="4"/>
  <c r="I281" i="4"/>
  <c r="H281" i="4"/>
  <c r="K280" i="4"/>
  <c r="J280" i="4"/>
  <c r="I280" i="4"/>
  <c r="H280" i="4"/>
  <c r="K279" i="4"/>
  <c r="J279" i="4"/>
  <c r="I279" i="4"/>
  <c r="H279" i="4"/>
  <c r="K278" i="4"/>
  <c r="J278" i="4"/>
  <c r="I278" i="4"/>
  <c r="H278" i="4"/>
  <c r="K277" i="4"/>
  <c r="J277" i="4"/>
  <c r="I277" i="4"/>
  <c r="H277" i="4"/>
  <c r="K276" i="4"/>
  <c r="J276" i="4"/>
  <c r="I276" i="4"/>
  <c r="H276" i="4"/>
  <c r="K275" i="4"/>
  <c r="J275" i="4"/>
  <c r="I275" i="4"/>
  <c r="H275" i="4"/>
  <c r="K274" i="4"/>
  <c r="J274" i="4"/>
  <c r="I274" i="4"/>
  <c r="H274" i="4"/>
  <c r="K273" i="4"/>
  <c r="J273" i="4"/>
  <c r="I273" i="4"/>
  <c r="H273" i="4"/>
  <c r="K272" i="4"/>
  <c r="J272" i="4"/>
  <c r="I272" i="4"/>
  <c r="H272" i="4"/>
  <c r="K271" i="4"/>
  <c r="J271" i="4"/>
  <c r="I271" i="4"/>
  <c r="H271" i="4"/>
  <c r="K270" i="4"/>
  <c r="J270" i="4"/>
  <c r="I270" i="4"/>
  <c r="H270" i="4"/>
  <c r="K269" i="4"/>
  <c r="J269" i="4"/>
  <c r="I269" i="4"/>
  <c r="H269" i="4"/>
  <c r="K268" i="4"/>
  <c r="J268" i="4"/>
  <c r="I268" i="4"/>
  <c r="H268" i="4"/>
  <c r="K267" i="4"/>
  <c r="J267" i="4"/>
  <c r="I267" i="4"/>
  <c r="H267" i="4"/>
  <c r="K266" i="4"/>
  <c r="J266" i="4"/>
  <c r="I266" i="4"/>
  <c r="H266" i="4"/>
  <c r="K265" i="4"/>
  <c r="J265" i="4"/>
  <c r="I265" i="4"/>
  <c r="H265" i="4"/>
  <c r="K264" i="4"/>
  <c r="J264" i="4"/>
  <c r="I264" i="4"/>
  <c r="H264" i="4"/>
  <c r="K263" i="4"/>
  <c r="J263" i="4"/>
  <c r="I263" i="4"/>
  <c r="H263" i="4"/>
  <c r="K262" i="4"/>
  <c r="J262" i="4"/>
  <c r="I262" i="4"/>
  <c r="H262" i="4"/>
  <c r="K261" i="4"/>
  <c r="J261" i="4"/>
  <c r="I261" i="4"/>
  <c r="H261" i="4"/>
  <c r="K260" i="4"/>
  <c r="J260" i="4"/>
  <c r="I260" i="4"/>
  <c r="H260" i="4"/>
  <c r="K259" i="4"/>
  <c r="J259" i="4"/>
  <c r="I259" i="4"/>
  <c r="H259" i="4"/>
  <c r="K258" i="4"/>
  <c r="J258" i="4"/>
  <c r="I258" i="4"/>
  <c r="H258" i="4"/>
  <c r="K257" i="4"/>
  <c r="J257" i="4"/>
  <c r="I257" i="4"/>
  <c r="H257" i="4"/>
  <c r="K256" i="4"/>
  <c r="J256" i="4"/>
  <c r="I256" i="4"/>
  <c r="H256" i="4"/>
  <c r="K255" i="4"/>
  <c r="J255" i="4"/>
  <c r="I255" i="4"/>
  <c r="H255" i="4"/>
  <c r="K254" i="4"/>
  <c r="J254" i="4"/>
  <c r="I254" i="4"/>
  <c r="H254" i="4"/>
  <c r="K253" i="4"/>
  <c r="J253" i="4"/>
  <c r="I253" i="4"/>
  <c r="H253" i="4"/>
  <c r="K252" i="4"/>
  <c r="J252" i="4"/>
  <c r="I252" i="4"/>
  <c r="H252" i="4"/>
  <c r="K251" i="4"/>
  <c r="J251" i="4"/>
  <c r="I251" i="4"/>
  <c r="H251" i="4"/>
  <c r="K250" i="4"/>
  <c r="J250" i="4"/>
  <c r="I250" i="4"/>
  <c r="H250" i="4"/>
  <c r="K249" i="4"/>
  <c r="J249" i="4"/>
  <c r="I249" i="4"/>
  <c r="H249" i="4"/>
  <c r="K248" i="4"/>
  <c r="J248" i="4"/>
  <c r="I248" i="4"/>
  <c r="H248" i="4"/>
  <c r="K247" i="4"/>
  <c r="J247" i="4"/>
  <c r="I247" i="4"/>
  <c r="H247" i="4"/>
  <c r="K246" i="4"/>
  <c r="J246" i="4"/>
  <c r="I246" i="4"/>
  <c r="H246" i="4"/>
  <c r="K245" i="4"/>
  <c r="J245" i="4"/>
  <c r="I245" i="4"/>
  <c r="H245" i="4"/>
  <c r="K244" i="4"/>
  <c r="J244" i="4"/>
  <c r="I244" i="4"/>
  <c r="H244" i="4"/>
  <c r="K243" i="4"/>
  <c r="J243" i="4"/>
  <c r="I243" i="4"/>
  <c r="H243" i="4"/>
  <c r="K242" i="4"/>
  <c r="J242" i="4"/>
  <c r="I242" i="4"/>
  <c r="H242" i="4"/>
  <c r="K241" i="4"/>
  <c r="J241" i="4"/>
  <c r="I241" i="4"/>
  <c r="H241" i="4"/>
  <c r="K240" i="4"/>
  <c r="J240" i="4"/>
  <c r="I240" i="4"/>
  <c r="H240" i="4"/>
  <c r="K239" i="4"/>
  <c r="J239" i="4"/>
  <c r="I239" i="4"/>
  <c r="H239" i="4"/>
  <c r="K238" i="4"/>
  <c r="J238" i="4"/>
  <c r="I238" i="4"/>
  <c r="H238" i="4"/>
  <c r="K237" i="4"/>
  <c r="J237" i="4"/>
  <c r="I237" i="4"/>
  <c r="H237" i="4"/>
  <c r="K236" i="4"/>
  <c r="J236" i="4"/>
  <c r="I236" i="4"/>
  <c r="H236" i="4"/>
  <c r="K235" i="4"/>
  <c r="J235" i="4"/>
  <c r="I235" i="4"/>
  <c r="H235" i="4"/>
  <c r="K234" i="4"/>
  <c r="J234" i="4"/>
  <c r="I234" i="4"/>
  <c r="H234" i="4"/>
  <c r="K233" i="4"/>
  <c r="J233" i="4"/>
  <c r="I233" i="4"/>
  <c r="H233" i="4"/>
  <c r="K232" i="4"/>
  <c r="J232" i="4"/>
  <c r="I232" i="4"/>
  <c r="H232" i="4"/>
  <c r="K231" i="4"/>
  <c r="J231" i="4"/>
  <c r="I231" i="4"/>
  <c r="H231" i="4"/>
  <c r="K230" i="4"/>
  <c r="J230" i="4"/>
  <c r="I230" i="4"/>
  <c r="H230" i="4"/>
  <c r="K229" i="4"/>
  <c r="J229" i="4"/>
  <c r="I229" i="4"/>
  <c r="H229" i="4"/>
  <c r="K228" i="4"/>
  <c r="J228" i="4"/>
  <c r="I228" i="4"/>
  <c r="H228" i="4"/>
  <c r="K227" i="4"/>
  <c r="J227" i="4"/>
  <c r="I227" i="4"/>
  <c r="H227" i="4"/>
  <c r="K226" i="4"/>
  <c r="J226" i="4"/>
  <c r="I226" i="4"/>
  <c r="H226" i="4"/>
  <c r="K225" i="4"/>
  <c r="J225" i="4"/>
  <c r="I225" i="4"/>
  <c r="H225" i="4"/>
  <c r="K224" i="4"/>
  <c r="J224" i="4"/>
  <c r="I224" i="4"/>
  <c r="H224" i="4"/>
  <c r="K223" i="4"/>
  <c r="J223" i="4"/>
  <c r="I223" i="4"/>
  <c r="H223" i="4"/>
  <c r="K222" i="4"/>
  <c r="J222" i="4"/>
  <c r="I222" i="4"/>
  <c r="H222" i="4"/>
  <c r="K221" i="4"/>
  <c r="J221" i="4"/>
  <c r="I221" i="4"/>
  <c r="H221" i="4"/>
  <c r="K220" i="4"/>
  <c r="J220" i="4"/>
  <c r="I220" i="4"/>
  <c r="H220" i="4"/>
  <c r="K219" i="4"/>
  <c r="J219" i="4"/>
  <c r="I219" i="4"/>
  <c r="H219" i="4"/>
  <c r="K218" i="4"/>
  <c r="J218" i="4"/>
  <c r="I218" i="4"/>
  <c r="H218" i="4"/>
  <c r="K217" i="4"/>
  <c r="J217" i="4"/>
  <c r="I217" i="4"/>
  <c r="H217" i="4"/>
  <c r="K216" i="4"/>
  <c r="J216" i="4"/>
  <c r="I216" i="4"/>
  <c r="H216" i="4"/>
  <c r="K215" i="4"/>
  <c r="J215" i="4"/>
  <c r="I215" i="4"/>
  <c r="H215" i="4"/>
  <c r="K214" i="4"/>
  <c r="J214" i="4"/>
  <c r="I214" i="4"/>
  <c r="H214" i="4"/>
  <c r="K213" i="4"/>
  <c r="J213" i="4"/>
  <c r="I213" i="4"/>
  <c r="H213" i="4"/>
  <c r="K212" i="4"/>
  <c r="J212" i="4"/>
  <c r="I212" i="4"/>
  <c r="H212" i="4"/>
  <c r="K211" i="4"/>
  <c r="J211" i="4"/>
  <c r="I211" i="4"/>
  <c r="H211" i="4"/>
  <c r="K210" i="4"/>
  <c r="J210" i="4"/>
  <c r="I210" i="4"/>
  <c r="H210" i="4"/>
  <c r="K209" i="4"/>
  <c r="J209" i="4"/>
  <c r="I209" i="4"/>
  <c r="H209" i="4"/>
  <c r="K208" i="4"/>
  <c r="J208" i="4"/>
  <c r="I208" i="4"/>
  <c r="H208" i="4"/>
  <c r="K207" i="4"/>
  <c r="J207" i="4"/>
  <c r="I207" i="4"/>
  <c r="H207" i="4"/>
  <c r="K206" i="4"/>
  <c r="J206" i="4"/>
  <c r="I206" i="4"/>
  <c r="H206" i="4"/>
  <c r="K205" i="4"/>
  <c r="J205" i="4"/>
  <c r="I205" i="4"/>
  <c r="H205" i="4"/>
  <c r="K204" i="4"/>
  <c r="J204" i="4"/>
  <c r="I204" i="4"/>
  <c r="H204" i="4"/>
  <c r="K203" i="4"/>
  <c r="J203" i="4"/>
  <c r="I203" i="4"/>
  <c r="H203" i="4"/>
  <c r="K202" i="4"/>
  <c r="J202" i="4"/>
  <c r="I202" i="4"/>
  <c r="H202" i="4"/>
  <c r="K201" i="4"/>
  <c r="J201" i="4"/>
  <c r="I201" i="4"/>
  <c r="H201" i="4"/>
  <c r="K200" i="4"/>
  <c r="J200" i="4"/>
  <c r="I200" i="4"/>
  <c r="H200" i="4"/>
  <c r="K199" i="4"/>
  <c r="J199" i="4"/>
  <c r="I199" i="4"/>
  <c r="H199" i="4"/>
  <c r="K198" i="4"/>
  <c r="J198" i="4"/>
  <c r="I198" i="4"/>
  <c r="H198" i="4"/>
  <c r="K197" i="4"/>
  <c r="J197" i="4"/>
  <c r="I197" i="4"/>
  <c r="H197" i="4"/>
  <c r="K196" i="4"/>
  <c r="J196" i="4"/>
  <c r="I196" i="4"/>
  <c r="H196" i="4"/>
  <c r="K195" i="4"/>
  <c r="J195" i="4"/>
  <c r="I195" i="4"/>
  <c r="H195" i="4"/>
  <c r="K194" i="4"/>
  <c r="J194" i="4"/>
  <c r="I194" i="4"/>
  <c r="H194" i="4"/>
  <c r="K193" i="4"/>
  <c r="J193" i="4"/>
  <c r="I193" i="4"/>
  <c r="H193" i="4"/>
  <c r="K192" i="4"/>
  <c r="J192" i="4"/>
  <c r="I192" i="4"/>
  <c r="H192" i="4"/>
  <c r="K191" i="4"/>
  <c r="J191" i="4"/>
  <c r="I191" i="4"/>
  <c r="H191" i="4"/>
  <c r="K190" i="4"/>
  <c r="J190" i="4"/>
  <c r="I190" i="4"/>
  <c r="H190" i="4"/>
  <c r="K189" i="4"/>
  <c r="J189" i="4"/>
  <c r="I189" i="4"/>
  <c r="H189" i="4"/>
  <c r="K188" i="4"/>
  <c r="J188" i="4"/>
  <c r="I188" i="4"/>
  <c r="H188" i="4"/>
  <c r="K187" i="4"/>
  <c r="J187" i="4"/>
  <c r="I187" i="4"/>
  <c r="H187" i="4"/>
  <c r="K186" i="4"/>
  <c r="J186" i="4"/>
  <c r="I186" i="4"/>
  <c r="H186" i="4"/>
  <c r="K185" i="4"/>
  <c r="J185" i="4"/>
  <c r="I185" i="4"/>
  <c r="H185" i="4"/>
  <c r="K184" i="4"/>
  <c r="J184" i="4"/>
  <c r="I184" i="4"/>
  <c r="H184" i="4"/>
  <c r="K183" i="4"/>
  <c r="J183" i="4"/>
  <c r="I183" i="4"/>
  <c r="H183" i="4"/>
  <c r="K182" i="4"/>
  <c r="J182" i="4"/>
  <c r="I182" i="4"/>
  <c r="H182" i="4"/>
  <c r="K181" i="4"/>
  <c r="J181" i="4"/>
  <c r="I181" i="4"/>
  <c r="H181" i="4"/>
  <c r="K180" i="4"/>
  <c r="J180" i="4"/>
  <c r="I180" i="4"/>
  <c r="H180" i="4"/>
  <c r="K179" i="4"/>
  <c r="J179" i="4"/>
  <c r="I179" i="4"/>
  <c r="H179" i="4"/>
  <c r="K178" i="4"/>
  <c r="J178" i="4"/>
  <c r="I178" i="4"/>
  <c r="H178" i="4"/>
  <c r="K177" i="4"/>
  <c r="J177" i="4"/>
  <c r="I177" i="4"/>
  <c r="H177" i="4"/>
  <c r="K176" i="4"/>
  <c r="J176" i="4"/>
  <c r="I176" i="4"/>
  <c r="H176" i="4"/>
  <c r="K175" i="4"/>
  <c r="J175" i="4"/>
  <c r="I175" i="4"/>
  <c r="H175" i="4"/>
  <c r="K174" i="4"/>
  <c r="J174" i="4"/>
  <c r="I174" i="4"/>
  <c r="H174" i="4"/>
  <c r="K173" i="4"/>
  <c r="J173" i="4"/>
  <c r="I173" i="4"/>
  <c r="H173" i="4"/>
  <c r="K172" i="4"/>
  <c r="J172" i="4"/>
  <c r="I172" i="4"/>
  <c r="H172" i="4"/>
  <c r="K171" i="4"/>
  <c r="J171" i="4"/>
  <c r="I171" i="4"/>
  <c r="H171" i="4"/>
  <c r="K170" i="4"/>
  <c r="J170" i="4"/>
  <c r="I170" i="4"/>
  <c r="H170" i="4"/>
  <c r="K169" i="4"/>
  <c r="J169" i="4"/>
  <c r="I169" i="4"/>
  <c r="H169" i="4"/>
  <c r="K168" i="4"/>
  <c r="J168" i="4"/>
  <c r="I168" i="4"/>
  <c r="H168" i="4"/>
  <c r="K167" i="4"/>
  <c r="J167" i="4"/>
  <c r="I167" i="4"/>
  <c r="H167" i="4"/>
  <c r="K166" i="4"/>
  <c r="J166" i="4"/>
  <c r="I166" i="4"/>
  <c r="H166" i="4"/>
  <c r="K165" i="4"/>
  <c r="J165" i="4"/>
  <c r="I165" i="4"/>
  <c r="H165" i="4"/>
  <c r="K164" i="4"/>
  <c r="J164" i="4"/>
  <c r="I164" i="4"/>
  <c r="H164" i="4"/>
  <c r="K163" i="4"/>
  <c r="J163" i="4"/>
  <c r="I163" i="4"/>
  <c r="H163" i="4"/>
  <c r="K162" i="4"/>
  <c r="J162" i="4"/>
  <c r="I162" i="4"/>
  <c r="H162" i="4"/>
  <c r="K161" i="4"/>
  <c r="J161" i="4"/>
  <c r="I161" i="4"/>
  <c r="H161" i="4"/>
  <c r="K160" i="4"/>
  <c r="J160" i="4"/>
  <c r="I160" i="4"/>
  <c r="H160" i="4"/>
  <c r="K159" i="4"/>
  <c r="J159" i="4"/>
  <c r="I159" i="4"/>
  <c r="H159" i="4"/>
  <c r="K158" i="4"/>
  <c r="J158" i="4"/>
  <c r="I158" i="4"/>
  <c r="H158" i="4"/>
  <c r="K157" i="4"/>
  <c r="J157" i="4"/>
  <c r="I157" i="4"/>
  <c r="H157" i="4"/>
  <c r="K156" i="4"/>
  <c r="J156" i="4"/>
  <c r="I156" i="4"/>
  <c r="H156" i="4"/>
  <c r="K155" i="4"/>
  <c r="J155" i="4"/>
  <c r="I155" i="4"/>
  <c r="H155" i="4"/>
  <c r="K154" i="4"/>
  <c r="J154" i="4"/>
  <c r="I154" i="4"/>
  <c r="H154" i="4"/>
  <c r="K153" i="4"/>
  <c r="J153" i="4"/>
  <c r="I153" i="4"/>
  <c r="H153" i="4"/>
  <c r="K152" i="4"/>
  <c r="J152" i="4"/>
  <c r="I152" i="4"/>
  <c r="H152" i="4"/>
  <c r="K151" i="4"/>
  <c r="J151" i="4"/>
  <c r="I151" i="4"/>
  <c r="H151" i="4"/>
  <c r="K150" i="4"/>
  <c r="J150" i="4"/>
  <c r="I150" i="4"/>
  <c r="H150" i="4"/>
  <c r="K149" i="4"/>
  <c r="J149" i="4"/>
  <c r="I149" i="4"/>
  <c r="H149" i="4"/>
  <c r="K148" i="4"/>
  <c r="J148" i="4"/>
  <c r="I148" i="4"/>
  <c r="H148" i="4"/>
  <c r="K147" i="4"/>
  <c r="J147" i="4"/>
  <c r="I147" i="4"/>
  <c r="H147" i="4"/>
  <c r="K146" i="4"/>
  <c r="J146" i="4"/>
  <c r="I146" i="4"/>
  <c r="H146" i="4"/>
  <c r="K145" i="4"/>
  <c r="J145" i="4"/>
  <c r="I145" i="4"/>
  <c r="H145" i="4"/>
  <c r="K144" i="4"/>
  <c r="J144" i="4"/>
  <c r="I144" i="4"/>
  <c r="H144" i="4"/>
  <c r="K143" i="4"/>
  <c r="J143" i="4"/>
  <c r="I143" i="4"/>
  <c r="H143" i="4"/>
  <c r="K142" i="4"/>
  <c r="J142" i="4"/>
  <c r="I142" i="4"/>
  <c r="H142" i="4"/>
  <c r="K141" i="4"/>
  <c r="J141" i="4"/>
  <c r="I141" i="4"/>
  <c r="H141" i="4"/>
  <c r="K140" i="4"/>
  <c r="J140" i="4"/>
  <c r="I140" i="4"/>
  <c r="H140" i="4"/>
  <c r="K139" i="4"/>
  <c r="J139" i="4"/>
  <c r="I139" i="4"/>
  <c r="H139" i="4"/>
  <c r="K138" i="4"/>
  <c r="J138" i="4"/>
  <c r="I138" i="4"/>
  <c r="H138" i="4"/>
  <c r="K137" i="4"/>
  <c r="J137" i="4"/>
  <c r="I137" i="4"/>
  <c r="H137" i="4"/>
  <c r="K136" i="4"/>
  <c r="J136" i="4"/>
  <c r="I136" i="4"/>
  <c r="H136" i="4"/>
  <c r="K135" i="4"/>
  <c r="J135" i="4"/>
  <c r="I135" i="4"/>
  <c r="H135" i="4"/>
  <c r="K134" i="4"/>
  <c r="J134" i="4"/>
  <c r="I134" i="4"/>
  <c r="H134" i="4"/>
  <c r="K133" i="4"/>
  <c r="J133" i="4"/>
  <c r="I133" i="4"/>
  <c r="H133" i="4"/>
  <c r="K132" i="4"/>
  <c r="J132" i="4"/>
  <c r="I132" i="4"/>
  <c r="H132" i="4"/>
  <c r="K131" i="4"/>
  <c r="J131" i="4"/>
  <c r="I131" i="4"/>
  <c r="H131" i="4"/>
  <c r="K130" i="4"/>
  <c r="J130" i="4"/>
  <c r="I130" i="4"/>
  <c r="H130" i="4"/>
  <c r="K129" i="4"/>
  <c r="J129" i="4"/>
  <c r="I129" i="4"/>
  <c r="H129" i="4"/>
  <c r="K128" i="4"/>
  <c r="J128" i="4"/>
  <c r="I128" i="4"/>
  <c r="H128" i="4"/>
  <c r="K127" i="4"/>
  <c r="J127" i="4"/>
  <c r="I127" i="4"/>
  <c r="H127" i="4"/>
  <c r="K126" i="4"/>
  <c r="J126" i="4"/>
  <c r="I126" i="4"/>
  <c r="H126" i="4"/>
  <c r="K125" i="4"/>
  <c r="J125" i="4"/>
  <c r="I125" i="4"/>
  <c r="H125" i="4"/>
  <c r="K124" i="4"/>
  <c r="J124" i="4"/>
  <c r="I124" i="4"/>
  <c r="H124" i="4"/>
  <c r="K123" i="4"/>
  <c r="J123" i="4"/>
  <c r="I123" i="4"/>
  <c r="H123" i="4"/>
  <c r="K122" i="4"/>
  <c r="J122" i="4"/>
  <c r="I122" i="4"/>
  <c r="H122" i="4"/>
  <c r="K121" i="4"/>
  <c r="J121" i="4"/>
  <c r="I121" i="4"/>
  <c r="H121" i="4"/>
  <c r="K120" i="4"/>
  <c r="J120" i="4"/>
  <c r="I120" i="4"/>
  <c r="H120" i="4"/>
  <c r="K119" i="4"/>
  <c r="J119" i="4"/>
  <c r="I119" i="4"/>
  <c r="H119" i="4"/>
  <c r="K118" i="4"/>
  <c r="J118" i="4"/>
  <c r="I118" i="4"/>
  <c r="H118" i="4"/>
  <c r="K117" i="4"/>
  <c r="J117" i="4"/>
  <c r="I117" i="4"/>
  <c r="H117" i="4"/>
  <c r="K116" i="4"/>
  <c r="J116" i="4"/>
  <c r="I116" i="4"/>
  <c r="H116" i="4"/>
  <c r="K115" i="4"/>
  <c r="J115" i="4"/>
  <c r="I115" i="4"/>
  <c r="H115" i="4"/>
  <c r="K114" i="4"/>
  <c r="J114" i="4"/>
  <c r="I114" i="4"/>
  <c r="H114" i="4"/>
  <c r="K113" i="4"/>
  <c r="J113" i="4"/>
  <c r="I113" i="4"/>
  <c r="H113" i="4"/>
  <c r="K112" i="4"/>
  <c r="J112" i="4"/>
  <c r="I112" i="4"/>
  <c r="H112" i="4"/>
  <c r="K111" i="4"/>
  <c r="J111" i="4"/>
  <c r="I111" i="4"/>
  <c r="H111" i="4"/>
  <c r="K110" i="4"/>
  <c r="J110" i="4"/>
  <c r="I110" i="4"/>
  <c r="H110" i="4"/>
  <c r="K109" i="4"/>
  <c r="J109" i="4"/>
  <c r="I109" i="4"/>
  <c r="H109" i="4"/>
  <c r="K108" i="4"/>
  <c r="J108" i="4"/>
  <c r="I108" i="4"/>
  <c r="H108" i="4"/>
  <c r="K107" i="4"/>
  <c r="J107" i="4"/>
  <c r="I107" i="4"/>
  <c r="H107" i="4"/>
  <c r="K106" i="4"/>
  <c r="J106" i="4"/>
  <c r="I106" i="4"/>
  <c r="H106" i="4"/>
  <c r="K105" i="4"/>
  <c r="J105" i="4"/>
  <c r="I105" i="4"/>
  <c r="H105" i="4"/>
  <c r="K104" i="4"/>
  <c r="J104" i="4"/>
  <c r="I104" i="4"/>
  <c r="H104" i="4"/>
  <c r="K103" i="4"/>
  <c r="J103" i="4"/>
  <c r="I103" i="4"/>
  <c r="H103" i="4"/>
  <c r="K102" i="4"/>
  <c r="J102" i="4"/>
  <c r="I102" i="4"/>
  <c r="H102" i="4"/>
  <c r="K101" i="4"/>
  <c r="J101" i="4"/>
  <c r="I101" i="4"/>
  <c r="H101" i="4"/>
  <c r="K100" i="4"/>
  <c r="J100" i="4"/>
  <c r="I100" i="4"/>
  <c r="H100" i="4"/>
  <c r="K99" i="4"/>
  <c r="J99" i="4"/>
  <c r="I99" i="4"/>
  <c r="H99" i="4"/>
  <c r="K98" i="4"/>
  <c r="J98" i="4"/>
  <c r="I98" i="4"/>
  <c r="H98" i="4"/>
  <c r="K97" i="4"/>
  <c r="J97" i="4"/>
  <c r="I97" i="4"/>
  <c r="H97" i="4"/>
  <c r="K96" i="4"/>
  <c r="J96" i="4"/>
  <c r="I96" i="4"/>
  <c r="H96" i="4"/>
  <c r="K95" i="4"/>
  <c r="J95" i="4"/>
  <c r="I95" i="4"/>
  <c r="H95" i="4"/>
  <c r="K94" i="4"/>
  <c r="J94" i="4"/>
  <c r="I94" i="4"/>
  <c r="H94" i="4"/>
  <c r="K93" i="4"/>
  <c r="J93" i="4"/>
  <c r="I93" i="4"/>
  <c r="H93" i="4"/>
  <c r="K92" i="4"/>
  <c r="J92" i="4"/>
  <c r="I92" i="4"/>
  <c r="H92" i="4"/>
  <c r="K91" i="4"/>
  <c r="J91" i="4"/>
  <c r="I91" i="4"/>
  <c r="H91" i="4"/>
  <c r="K90" i="4"/>
  <c r="J90" i="4"/>
  <c r="I90" i="4"/>
  <c r="H90" i="4"/>
  <c r="K89" i="4"/>
  <c r="J89" i="4"/>
  <c r="I89" i="4"/>
  <c r="H89" i="4"/>
  <c r="K88" i="4"/>
  <c r="J88" i="4"/>
  <c r="I88" i="4"/>
  <c r="H88" i="4"/>
  <c r="K87" i="4"/>
  <c r="J87" i="4"/>
  <c r="I87" i="4"/>
  <c r="H87" i="4"/>
  <c r="K86" i="4"/>
  <c r="J86" i="4"/>
  <c r="I86" i="4"/>
  <c r="H86" i="4"/>
  <c r="K85" i="4"/>
  <c r="J85" i="4"/>
  <c r="I85" i="4"/>
  <c r="H85" i="4"/>
  <c r="K84" i="4"/>
  <c r="J84" i="4"/>
  <c r="I84" i="4"/>
  <c r="H84" i="4"/>
  <c r="K83" i="4"/>
  <c r="J83" i="4"/>
  <c r="I83" i="4"/>
  <c r="H83" i="4"/>
  <c r="K82" i="4"/>
  <c r="J82" i="4"/>
  <c r="I82" i="4"/>
  <c r="H82" i="4"/>
  <c r="K81" i="4"/>
  <c r="J81" i="4"/>
  <c r="I81" i="4"/>
  <c r="H81" i="4"/>
  <c r="K80" i="4"/>
  <c r="J80" i="4"/>
  <c r="I80" i="4"/>
  <c r="H80" i="4"/>
  <c r="K79" i="4"/>
  <c r="J79" i="4"/>
  <c r="I79" i="4"/>
  <c r="H79" i="4"/>
  <c r="K78" i="4"/>
  <c r="J78" i="4"/>
  <c r="I78" i="4"/>
  <c r="H78" i="4"/>
  <c r="K77" i="4"/>
  <c r="J77" i="4"/>
  <c r="I77" i="4"/>
  <c r="H77" i="4"/>
  <c r="K76" i="4"/>
  <c r="J76" i="4"/>
  <c r="I76" i="4"/>
  <c r="H76" i="4"/>
  <c r="K75" i="4"/>
  <c r="J75" i="4"/>
  <c r="I75" i="4"/>
  <c r="H75" i="4"/>
  <c r="K74" i="4"/>
  <c r="J74" i="4"/>
  <c r="I74" i="4"/>
  <c r="H74" i="4"/>
  <c r="K73" i="4"/>
  <c r="J73" i="4"/>
  <c r="I73" i="4"/>
  <c r="H73" i="4"/>
  <c r="K72" i="4"/>
  <c r="J72" i="4"/>
  <c r="I72" i="4"/>
  <c r="H72" i="4"/>
  <c r="K71" i="4"/>
  <c r="J71" i="4"/>
  <c r="I71" i="4"/>
  <c r="H71" i="4"/>
  <c r="K70" i="4"/>
  <c r="J70" i="4"/>
  <c r="I70" i="4"/>
  <c r="H70" i="4"/>
  <c r="K69" i="4"/>
  <c r="J69" i="4"/>
  <c r="I69" i="4"/>
  <c r="H69" i="4"/>
  <c r="K68" i="4"/>
  <c r="J68" i="4"/>
  <c r="I68" i="4"/>
  <c r="H68" i="4"/>
  <c r="K67" i="4"/>
  <c r="J67" i="4"/>
  <c r="I67" i="4"/>
  <c r="H67" i="4"/>
  <c r="K66" i="4"/>
  <c r="J66" i="4"/>
  <c r="I66" i="4"/>
  <c r="H66" i="4"/>
  <c r="K65" i="4"/>
  <c r="J65" i="4"/>
  <c r="I65" i="4"/>
  <c r="H65" i="4"/>
  <c r="K64" i="4"/>
  <c r="J64" i="4"/>
  <c r="I64" i="4"/>
  <c r="H64" i="4"/>
  <c r="K63" i="4"/>
  <c r="J63" i="4"/>
  <c r="I63" i="4"/>
  <c r="H63" i="4"/>
  <c r="K62" i="4"/>
  <c r="J62" i="4"/>
  <c r="I62" i="4"/>
  <c r="H62" i="4"/>
  <c r="K61" i="4"/>
  <c r="J61" i="4"/>
  <c r="I61" i="4"/>
  <c r="H61" i="4"/>
  <c r="K60" i="4"/>
  <c r="J60" i="4"/>
  <c r="I60" i="4"/>
  <c r="H60" i="4"/>
  <c r="K59" i="4"/>
  <c r="J59" i="4"/>
  <c r="I59" i="4"/>
  <c r="H59" i="4"/>
  <c r="K58" i="4"/>
  <c r="J58" i="4"/>
  <c r="I58" i="4"/>
  <c r="H58" i="4"/>
  <c r="K57" i="4"/>
  <c r="J57" i="4"/>
  <c r="I57" i="4"/>
  <c r="H57" i="4"/>
  <c r="K56" i="4"/>
  <c r="J56" i="4"/>
  <c r="I56" i="4"/>
  <c r="H56" i="4"/>
  <c r="K55" i="4"/>
  <c r="J55" i="4"/>
  <c r="I55" i="4"/>
  <c r="H55" i="4"/>
  <c r="K54" i="4"/>
  <c r="J54" i="4"/>
  <c r="I54" i="4"/>
  <c r="H54" i="4"/>
  <c r="K53" i="4"/>
  <c r="J53" i="4"/>
  <c r="I53" i="4"/>
  <c r="H53" i="4"/>
  <c r="K52" i="4"/>
  <c r="J52" i="4"/>
  <c r="I52" i="4"/>
  <c r="H52" i="4"/>
  <c r="K51" i="4"/>
  <c r="J51" i="4"/>
  <c r="I51" i="4"/>
  <c r="H51" i="4"/>
  <c r="K50" i="4"/>
  <c r="J50" i="4"/>
  <c r="I50" i="4"/>
  <c r="H50" i="4"/>
  <c r="K49" i="4"/>
  <c r="J49" i="4"/>
  <c r="I49" i="4"/>
  <c r="H49" i="4"/>
  <c r="K48" i="4"/>
  <c r="J48" i="4"/>
  <c r="I48" i="4"/>
  <c r="H48" i="4"/>
  <c r="K47" i="4"/>
  <c r="J47" i="4"/>
  <c r="I47" i="4"/>
  <c r="H47" i="4"/>
  <c r="K46" i="4"/>
  <c r="J46" i="4"/>
  <c r="I46" i="4"/>
  <c r="H46" i="4"/>
  <c r="K45" i="4"/>
  <c r="J45" i="4"/>
  <c r="I45" i="4"/>
  <c r="H45" i="4"/>
  <c r="K44" i="4"/>
  <c r="J44" i="4"/>
  <c r="I44" i="4"/>
  <c r="H44" i="4"/>
  <c r="K43" i="4"/>
  <c r="J43" i="4"/>
  <c r="I43" i="4"/>
  <c r="H43" i="4"/>
  <c r="K42" i="4"/>
  <c r="J42" i="4"/>
  <c r="I42" i="4"/>
  <c r="H42" i="4"/>
  <c r="K41" i="4"/>
  <c r="J41" i="4"/>
  <c r="I41" i="4"/>
  <c r="H41" i="4"/>
  <c r="K40" i="4"/>
  <c r="J40" i="4"/>
  <c r="I40" i="4"/>
  <c r="H40" i="4"/>
  <c r="K39" i="4"/>
  <c r="J39" i="4"/>
  <c r="I39" i="4"/>
  <c r="H39" i="4"/>
  <c r="K38" i="4"/>
  <c r="J38" i="4"/>
  <c r="I38" i="4"/>
  <c r="H38" i="4"/>
  <c r="K37" i="4"/>
  <c r="J37" i="4"/>
  <c r="I37" i="4"/>
  <c r="H37" i="4"/>
  <c r="K36" i="4"/>
  <c r="J36" i="4"/>
  <c r="I36" i="4"/>
  <c r="H36" i="4"/>
  <c r="K35" i="4"/>
  <c r="J35" i="4"/>
  <c r="I35" i="4"/>
  <c r="H35" i="4"/>
  <c r="K34" i="4"/>
  <c r="J34" i="4"/>
  <c r="I34" i="4"/>
  <c r="H34" i="4"/>
  <c r="K33" i="4"/>
  <c r="J33" i="4"/>
  <c r="I33" i="4"/>
  <c r="H33" i="4"/>
  <c r="K32" i="4"/>
  <c r="J32" i="4"/>
  <c r="I32" i="4"/>
  <c r="H32" i="4"/>
  <c r="K31" i="4"/>
  <c r="J31" i="4"/>
  <c r="I31" i="4"/>
  <c r="H31" i="4"/>
  <c r="K30" i="4"/>
  <c r="J30" i="4"/>
  <c r="I30" i="4"/>
  <c r="H30" i="4"/>
  <c r="K29" i="4"/>
  <c r="J29" i="4"/>
  <c r="I29" i="4"/>
  <c r="H29" i="4"/>
  <c r="K28" i="4"/>
  <c r="J28" i="4"/>
  <c r="I28" i="4"/>
  <c r="H28" i="4"/>
  <c r="K27" i="4"/>
  <c r="J27" i="4"/>
  <c r="I27" i="4"/>
  <c r="H27" i="4"/>
  <c r="K26" i="4"/>
  <c r="J26" i="4"/>
  <c r="I26" i="4"/>
  <c r="H26" i="4"/>
  <c r="K25" i="4"/>
  <c r="J25" i="4"/>
  <c r="I25" i="4"/>
  <c r="H25" i="4"/>
  <c r="K24" i="4"/>
  <c r="J24" i="4"/>
  <c r="I24" i="4"/>
  <c r="H24" i="4"/>
  <c r="K23" i="4"/>
  <c r="J23" i="4"/>
  <c r="I23" i="4"/>
  <c r="H23" i="4"/>
  <c r="K22" i="4"/>
  <c r="J22" i="4"/>
  <c r="I22" i="4"/>
  <c r="H22" i="4"/>
  <c r="K21" i="4"/>
  <c r="J21" i="4"/>
  <c r="I21" i="4"/>
  <c r="H21" i="4"/>
  <c r="K20" i="4"/>
  <c r="J20" i="4"/>
  <c r="I20" i="4"/>
  <c r="H20" i="4"/>
  <c r="K19" i="4"/>
  <c r="J19" i="4"/>
  <c r="I19" i="4"/>
  <c r="H19" i="4"/>
  <c r="K18" i="4"/>
  <c r="J18" i="4"/>
  <c r="I18" i="4"/>
  <c r="H18" i="4"/>
  <c r="K17" i="4"/>
  <c r="J17" i="4"/>
  <c r="I17" i="4"/>
  <c r="H17" i="4"/>
  <c r="K16" i="4"/>
  <c r="J16" i="4"/>
  <c r="I16" i="4"/>
  <c r="H16" i="4"/>
  <c r="K15" i="4"/>
  <c r="J15" i="4"/>
  <c r="I15" i="4"/>
  <c r="H15" i="4"/>
  <c r="K14" i="4"/>
  <c r="J14" i="4"/>
  <c r="I14" i="4"/>
  <c r="H14" i="4"/>
  <c r="K13" i="4"/>
  <c r="J13" i="4"/>
  <c r="I13" i="4"/>
  <c r="H13" i="4"/>
  <c r="K12" i="4"/>
  <c r="J12" i="4"/>
  <c r="I12" i="4"/>
  <c r="H12" i="4"/>
  <c r="K11" i="4"/>
  <c r="J11" i="4"/>
  <c r="I11" i="4"/>
  <c r="H11" i="4"/>
  <c r="K10" i="4"/>
  <c r="J10" i="4"/>
  <c r="I10" i="4"/>
  <c r="H10" i="4"/>
  <c r="K9" i="4"/>
  <c r="J9" i="4"/>
  <c r="I9" i="4"/>
  <c r="H9" i="4"/>
  <c r="K8" i="4"/>
  <c r="J8" i="4"/>
  <c r="I8" i="4"/>
  <c r="H8" i="4"/>
  <c r="K7" i="4"/>
  <c r="J7" i="4"/>
  <c r="I7" i="4"/>
  <c r="H7" i="4"/>
  <c r="K6" i="4"/>
  <c r="J6" i="4"/>
  <c r="I6" i="4"/>
  <c r="H6" i="4"/>
  <c r="K5" i="4"/>
  <c r="J5" i="4"/>
  <c r="I5" i="4"/>
  <c r="H5" i="4"/>
  <c r="D47" i="1"/>
  <c r="C47" i="1"/>
  <c r="D46" i="1"/>
  <c r="C46" i="1"/>
  <c r="D45" i="1"/>
  <c r="E31" i="1" s="1"/>
  <c r="C45" i="1"/>
  <c r="E42" i="1" s="1"/>
  <c r="E36" i="1"/>
  <c r="E35" i="1"/>
  <c r="E34" i="1"/>
  <c r="E33" i="1"/>
  <c r="E32" i="1"/>
  <c r="E30" i="1"/>
  <c r="E28" i="1"/>
  <c r="E37" i="1" l="1"/>
  <c r="E38" i="1"/>
  <c r="E39" i="1"/>
  <c r="E40" i="1"/>
  <c r="E29" i="1"/>
  <c r="E4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166A72-B626-4E53-AB54-AE628B376324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<sst xmlns="http://schemas.openxmlformats.org/spreadsheetml/2006/main" count="3082" uniqueCount="1058">
  <si>
    <t>Time wasters: Customers who call more but buy less</t>
  </si>
  <si>
    <t>Row Labels</t>
  </si>
  <si>
    <t>Count of Call number</t>
  </si>
  <si>
    <t>Sum of Purchase Amount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</si>
  <si>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</si>
  <si>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</si>
  <si>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</si>
  <si>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</si>
  <si>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</si>
  <si>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</si>
  <si>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</si>
  <si>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</si>
  <si>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</si>
  <si>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</si>
  <si>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</si>
  <si>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</si>
  <si>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</si>
  <si>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</si>
  <si>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</si>
  <si>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Grand Total</t>
  </si>
  <si>
    <t>Segment</t>
  </si>
  <si>
    <t>Time Waster</t>
  </si>
  <si>
    <t xml:space="preserve">Avg </t>
  </si>
  <si>
    <t>Minimum</t>
  </si>
  <si>
    <t>Maximum</t>
  </si>
  <si>
    <t>Which Rep(s) could use satisfaction training program?</t>
  </si>
  <si>
    <t>Average of Satisfaction Rating</t>
  </si>
  <si>
    <t>Column Labels</t>
  </si>
  <si>
    <t>R01</t>
  </si>
  <si>
    <t>R02</t>
  </si>
  <si>
    <t>R03</t>
  </si>
  <si>
    <t>R04</t>
  </si>
  <si>
    <t>R05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</si>
  <si>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</si>
  <si>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</si>
  <si>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</si>
  <si>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</si>
  <si>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</si>
  <si>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</si>
  <si>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</si>
  <si>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</si>
  <si>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</si>
  <si>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</si>
  <si>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</si>
  <si>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</si>
  <si>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Ratings Dropping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</si>
  <si>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</si>
  <si>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</si>
  <si>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</si>
  <si>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</si>
  <si>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</si>
  <si>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</si>
  <si>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</si>
  <si>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</si>
  <si>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</si>
  <si>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</si>
  <si>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</si>
  <si>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</si>
  <si>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</si>
  <si>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</si>
  <si>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</si>
  <si>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</si>
  <si>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</si>
  <si>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</si>
  <si>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</si>
  <si>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</si>
  <si>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</si>
  <si>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</si>
  <si>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</si>
  <si>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</si>
  <si>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</si>
  <si>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</si>
  <si>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</si>
  <si>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</si>
  <si>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</si>
  <si>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</si>
  <si>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</si>
  <si>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</si>
  <si>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</si>
  <si>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</si>
  <si>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</si>
  <si>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</si>
  <si>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</si>
  <si>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</si>
  <si>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</si>
  <si>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</si>
  <si>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</si>
  <si>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</si>
  <si>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</si>
  <si>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</si>
  <si>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</si>
  <si>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</si>
  <si>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</si>
  <si>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</si>
  <si>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</si>
  <si>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</si>
  <si>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</si>
  <si>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</si>
  <si>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</si>
  <si>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</si>
  <si>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</si>
  <si>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</si>
  <si>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</si>
  <si>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</si>
  <si>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</si>
  <si>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</si>
  <si>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</si>
  <si>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</si>
  <si>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</si>
  <si>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</si>
  <si>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</si>
  <si>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</si>
  <si>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</si>
  <si>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</si>
  <si>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</si>
  <si>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</si>
  <si>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</si>
  <si>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</si>
  <si>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</si>
  <si>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</si>
  <si>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</si>
  <si>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</si>
  <si>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</si>
  <si>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</si>
  <si>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</si>
  <si>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</si>
  <si>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</si>
  <si>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</si>
  <si>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</si>
  <si>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</si>
  <si>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</si>
  <si>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</si>
  <si>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</si>
  <si>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</si>
  <si>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</si>
  <si>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</si>
  <si>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</si>
  <si>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</si>
  <si>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</si>
  <si>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</si>
  <si>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</si>
  <si>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</si>
  <si>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</si>
  <si>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</si>
  <si>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</si>
  <si>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</si>
  <si>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</si>
  <si>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</si>
  <si>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</si>
  <si>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</si>
  <si>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</si>
  <si>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</si>
  <si>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</si>
  <si>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</si>
  <si>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</si>
  <si>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</si>
  <si>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</si>
  <si>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</si>
  <si>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</si>
  <si>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</si>
  <si>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</si>
  <si>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</si>
  <si>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</si>
  <si>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</si>
  <si>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</si>
  <si>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</si>
  <si>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</si>
  <si>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</si>
  <si>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</si>
  <si>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</si>
  <si>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</si>
  <si>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</si>
  <si>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</si>
  <si>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</si>
  <si>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</si>
  <si>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</si>
  <si>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</si>
  <si>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</si>
  <si>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</si>
  <si>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</si>
  <si>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</si>
  <si>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</si>
  <si>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</si>
  <si>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</si>
  <si>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</si>
  <si>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</si>
  <si>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</si>
  <si>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</si>
  <si>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</si>
  <si>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</si>
  <si>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</si>
  <si>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</si>
  <si>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</si>
  <si>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</si>
  <si>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</si>
  <si>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</si>
  <si>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</si>
  <si>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</si>
  <si>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</si>
  <si>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</si>
  <si>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</si>
  <si>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</si>
  <si>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</si>
  <si>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</si>
  <si>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</si>
  <si>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</si>
  <si>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</si>
  <si>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</si>
  <si>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</si>
  <si>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</si>
  <si>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</si>
  <si>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</si>
  <si>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</si>
  <si>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</si>
  <si>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</si>
  <si>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</si>
  <si>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</si>
  <si>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</si>
  <si>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</si>
  <si>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</si>
  <si>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</si>
  <si>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</si>
  <si>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</si>
  <si>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</si>
  <si>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</si>
  <si>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</si>
  <si>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</si>
  <si>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</si>
  <si>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</si>
  <si>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</si>
  <si>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</si>
  <si>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</si>
  <si>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</si>
  <si>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</si>
  <si>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</si>
  <si>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</si>
  <si>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</si>
  <si>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</si>
  <si>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</si>
  <si>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</si>
  <si>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</si>
  <si>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</si>
  <si>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</si>
  <si>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</si>
  <si>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</si>
  <si>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</si>
  <si>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</si>
  <si>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</si>
  <si>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</si>
  <si>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</si>
  <si>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</si>
  <si>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</si>
  <si>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</si>
  <si>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</si>
  <si>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</si>
  <si>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</si>
  <si>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</si>
  <si>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</si>
  <si>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</si>
  <si>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</si>
  <si>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</si>
  <si>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</si>
  <si>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</si>
  <si>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</si>
  <si>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</si>
  <si>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</si>
  <si>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</si>
  <si>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</si>
  <si>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</si>
  <si>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</si>
  <si>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</si>
  <si>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</si>
  <si>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</si>
  <si>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</si>
  <si>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</si>
  <si>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</si>
  <si>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</si>
  <si>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</si>
  <si>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</si>
  <si>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</si>
  <si>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</si>
  <si>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</si>
  <si>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</si>
  <si>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</si>
  <si>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</si>
  <si>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</si>
  <si>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</si>
  <si>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</si>
  <si>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</si>
  <si>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</si>
  <si>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</si>
  <si>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</si>
  <si>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</si>
  <si>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</si>
  <si>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</si>
  <si>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</si>
  <si>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</si>
  <si>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</si>
  <si>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</si>
  <si>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</si>
  <si>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</si>
  <si>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</si>
  <si>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</si>
  <si>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</si>
  <si>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</si>
  <si>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</si>
  <si>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</si>
  <si>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</si>
  <si>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</si>
  <si>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</si>
  <si>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</si>
  <si>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</si>
  <si>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</si>
  <si>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</si>
  <si>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</si>
  <si>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</si>
  <si>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</si>
  <si>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</si>
  <si>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</si>
  <si>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</si>
  <si>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</si>
  <si>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</si>
  <si>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</si>
  <si>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</si>
  <si>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</si>
  <si>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</si>
  <si>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</si>
  <si>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</si>
  <si>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</si>
  <si>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</si>
  <si>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</si>
  <si>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</si>
  <si>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</si>
  <si>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</si>
  <si>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</si>
  <si>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</si>
  <si>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</si>
  <si>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</si>
  <si>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</si>
  <si>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</si>
  <si>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</si>
  <si>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</si>
  <si>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</si>
  <si>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</si>
  <si>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</si>
  <si>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</si>
  <si>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</si>
  <si>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</si>
  <si>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</si>
  <si>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</si>
  <si>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</si>
  <si>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</si>
  <si>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</si>
  <si>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</si>
  <si>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</si>
  <si>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</si>
  <si>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</si>
  <si>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</si>
  <si>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</si>
  <si>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</si>
  <si>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</si>
  <si>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</si>
  <si>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</si>
  <si>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</si>
  <si>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</si>
  <si>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</si>
  <si>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</si>
  <si>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</si>
  <si>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</si>
  <si>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</si>
  <si>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</si>
  <si>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</si>
  <si>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</si>
  <si>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</si>
  <si>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</si>
  <si>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</si>
  <si>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</si>
  <si>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</si>
  <si>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</si>
  <si>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</si>
  <si>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</si>
  <si>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</si>
  <si>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</si>
  <si>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</si>
  <si>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</si>
  <si>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</si>
  <si>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</si>
  <si>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</si>
  <si>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</si>
  <si>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</si>
  <si>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</si>
  <si>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</si>
  <si>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</si>
  <si>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</si>
  <si>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</si>
  <si>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</si>
  <si>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</si>
  <si>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</si>
  <si>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</si>
  <si>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</si>
  <si>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</si>
  <si>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</si>
  <si>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</si>
  <si>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</si>
  <si>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</si>
  <si>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</si>
  <si>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</si>
  <si>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</si>
  <si>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</si>
  <si>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</si>
  <si>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</si>
  <si>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</si>
  <si>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</si>
  <si>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</si>
  <si>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</si>
  <si>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</si>
  <si>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</si>
  <si>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</si>
  <si>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</si>
  <si>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</si>
  <si>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</si>
  <si>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</si>
  <si>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</si>
  <si>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</si>
  <si>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</si>
  <si>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</si>
  <si>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</si>
  <si>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</si>
  <si>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</si>
  <si>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</si>
  <si>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</si>
  <si>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</si>
  <si>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</si>
  <si>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</si>
  <si>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</si>
  <si>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</si>
  <si>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</si>
  <si>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</si>
  <si>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</si>
  <si>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</si>
  <si>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</si>
  <si>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</si>
  <si>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</si>
  <si>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</si>
  <si>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</si>
  <si>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</si>
  <si>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</si>
  <si>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</si>
  <si>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</si>
  <si>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</si>
  <si>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</si>
  <si>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</si>
  <si>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</si>
  <si>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</si>
  <si>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</si>
  <si>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</si>
  <si>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</si>
  <si>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</si>
  <si>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</si>
  <si>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</si>
  <si>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</si>
  <si>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</si>
  <si>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</si>
  <si>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</si>
  <si>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</si>
  <si>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</si>
  <si>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</si>
  <si>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</si>
  <si>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</si>
  <si>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</si>
  <si>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</si>
  <si>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</si>
  <si>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</si>
  <si>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</si>
  <si>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</si>
  <si>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</si>
  <si>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</si>
  <si>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</si>
  <si>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</si>
  <si>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</si>
  <si>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</si>
  <si>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</si>
  <si>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</si>
  <si>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</si>
  <si>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</si>
  <si>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</si>
  <si>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</si>
  <si>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</si>
  <si>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</si>
  <si>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</si>
  <si>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</si>
  <si>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</si>
  <si>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</si>
  <si>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</si>
  <si>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</si>
  <si>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</si>
  <si>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</si>
  <si>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</si>
  <si>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</si>
  <si>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</si>
  <si>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</si>
  <si>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</si>
  <si>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</si>
  <si>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</si>
  <si>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</si>
  <si>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</si>
  <si>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</si>
  <si>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</si>
  <si>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</si>
  <si>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</si>
  <si>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</si>
  <si>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</si>
  <si>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</si>
  <si>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</si>
  <si>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</si>
  <si>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</si>
  <si>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</si>
  <si>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</si>
  <si>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</si>
  <si>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</si>
  <si>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</si>
  <si>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</si>
  <si>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</si>
  <si>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</si>
  <si>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</si>
  <si>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</si>
  <si>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</si>
  <si>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</si>
  <si>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</si>
  <si>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</si>
  <si>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</si>
  <si>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</si>
  <si>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</si>
  <si>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</si>
  <si>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</si>
  <si>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</si>
  <si>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</si>
  <si>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</si>
  <si>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</si>
  <si>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</si>
  <si>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</si>
  <si>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</si>
  <si>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</si>
  <si>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</si>
  <si>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</si>
  <si>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</si>
  <si>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</si>
  <si>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</si>
  <si>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</si>
  <si>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</si>
  <si>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</si>
  <si>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</si>
  <si>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</si>
  <si>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</si>
  <si>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</si>
  <si>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</si>
  <si>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</si>
  <si>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</si>
  <si>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</si>
  <si>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</si>
  <si>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</si>
  <si>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</si>
  <si>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</si>
  <si>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</si>
  <si>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</si>
  <si>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</si>
  <si>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</si>
  <si>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</si>
  <si>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</si>
  <si>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</si>
  <si>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</si>
  <si>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</si>
  <si>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</si>
  <si>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</si>
  <si>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</si>
  <si>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</si>
  <si>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</si>
  <si>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</si>
  <si>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</si>
  <si>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</si>
  <si>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</si>
  <si>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</si>
  <si>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</si>
  <si>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</si>
  <si>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</si>
  <si>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</si>
  <si>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</si>
  <si>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</si>
  <si>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</si>
  <si>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</si>
  <si>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</si>
  <si>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</si>
  <si>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</si>
  <si>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</si>
  <si>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</si>
  <si>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</si>
  <si>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</si>
  <si>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</si>
  <si>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</si>
  <si>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</si>
  <si>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</si>
  <si>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</si>
  <si>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</si>
  <si>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</si>
  <si>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</si>
  <si>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</si>
  <si>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</si>
  <si>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</si>
  <si>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</si>
  <si>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</si>
  <si>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</si>
  <si>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</si>
  <si>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</si>
  <si>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</si>
  <si>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</si>
  <si>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</si>
  <si>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</si>
  <si>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</si>
  <si>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</si>
  <si>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</si>
  <si>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</si>
  <si>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</si>
  <si>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</si>
  <si>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</si>
  <si>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</si>
  <si>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</si>
  <si>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</si>
  <si>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</si>
  <si>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</si>
  <si>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</si>
  <si>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</si>
  <si>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</si>
  <si>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</si>
  <si>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</si>
  <si>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</si>
  <si>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</si>
  <si>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</si>
  <si>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</si>
  <si>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</si>
  <si>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</si>
  <si>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</si>
  <si>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</si>
  <si>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</si>
  <si>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</si>
  <si>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</si>
  <si>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</si>
  <si>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</si>
  <si>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</si>
  <si>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</si>
  <si>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</si>
  <si>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</si>
  <si>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</si>
  <si>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</si>
  <si>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</si>
  <si>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</si>
  <si>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</si>
  <si>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</si>
  <si>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</si>
  <si>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</si>
  <si>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</si>
  <si>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</si>
  <si>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</si>
  <si>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</si>
  <si>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</si>
  <si>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</si>
  <si>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</si>
  <si>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</si>
  <si>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</si>
  <si>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</si>
  <si>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</si>
  <si>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</si>
  <si>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</si>
  <si>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</si>
  <si>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</si>
  <si>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</si>
  <si>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</si>
  <si>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</si>
  <si>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</si>
  <si>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</si>
  <si>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</si>
  <si>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</si>
  <si>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</si>
  <si>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</si>
  <si>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</si>
  <si>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</si>
  <si>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</si>
  <si>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</si>
  <si>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</si>
  <si>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</si>
  <si>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</si>
  <si>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</si>
  <si>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</si>
  <si>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</si>
  <si>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</si>
  <si>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</si>
  <si>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</si>
  <si>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</si>
  <si>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</si>
  <si>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</si>
  <si>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</si>
  <si>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</si>
  <si>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</si>
  <si>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</si>
  <si>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</si>
  <si>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</si>
  <si>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</si>
  <si>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</si>
  <si>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</si>
  <si>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</si>
  <si>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</si>
  <si>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</si>
  <si>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</si>
  <si>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</si>
  <si>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</si>
  <si>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</si>
  <si>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</si>
  <si>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</si>
  <si>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</si>
  <si>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</si>
  <si>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</si>
  <si>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</si>
  <si>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</si>
  <si>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</si>
  <si>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</si>
  <si>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</si>
  <si>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</si>
  <si>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</si>
  <si>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</si>
  <si>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</si>
  <si>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</si>
  <si>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</si>
  <si>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</si>
  <si>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</si>
  <si>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</si>
  <si>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</si>
  <si>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</si>
  <si>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</si>
  <si>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</si>
  <si>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</si>
  <si>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</si>
  <si>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</si>
  <si>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</si>
  <si>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</si>
  <si>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</si>
  <si>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</si>
  <si>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</si>
  <si>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</si>
  <si>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</si>
  <si>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</si>
  <si>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</si>
  <si>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</si>
  <si>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</si>
  <si>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</si>
  <si>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</si>
  <si>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</si>
  <si>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</si>
  <si>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</si>
  <si>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</si>
  <si>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</si>
  <si>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</si>
  <si>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</si>
  <si>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</si>
  <si>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</si>
  <si>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</si>
  <si>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</si>
  <si>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</si>
  <si>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</si>
  <si>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</si>
  <si>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</si>
  <si>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</si>
  <si>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</si>
  <si>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</si>
  <si>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</si>
  <si>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</si>
  <si>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</si>
  <si>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</si>
  <si>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</si>
  <si>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</si>
  <si>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</si>
  <si>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</si>
  <si>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</si>
  <si>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</si>
  <si>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</si>
  <si>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</si>
  <si>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</si>
  <si>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</si>
  <si>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</si>
  <si>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</si>
  <si>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</si>
  <si>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</si>
  <si>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</si>
  <si>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</si>
  <si>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</si>
  <si>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</si>
  <si>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</si>
  <si>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</si>
  <si>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</si>
  <si>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</si>
  <si>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</si>
  <si>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</si>
  <si>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</si>
  <si>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</si>
  <si>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</si>
  <si>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</si>
  <si>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</si>
  <si>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</si>
  <si>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</si>
  <si>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</si>
  <si>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</si>
  <si>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</si>
  <si>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</si>
  <si>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</si>
  <si>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</si>
  <si>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</si>
  <si>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</si>
  <si>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</si>
  <si>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</si>
  <si>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</si>
  <si>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</si>
  <si>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</si>
  <si>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</si>
  <si>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</si>
  <si>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</si>
  <si>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</si>
  <si>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</si>
  <si>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</si>
  <si>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</si>
  <si>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</si>
  <si>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</si>
  <si>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</si>
  <si>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</si>
  <si>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</si>
  <si>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</si>
  <si>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</si>
  <si>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</si>
  <si>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</si>
  <si>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</si>
  <si>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</si>
  <si>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</si>
  <si>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</si>
  <si>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</si>
  <si>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</si>
  <si>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</si>
  <si>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</si>
  <si>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</si>
  <si>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</si>
  <si>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</si>
  <si>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</si>
  <si>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</si>
  <si>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</si>
  <si>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</si>
  <si>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</si>
  <si>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</si>
  <si>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</si>
  <si>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</si>
  <si>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</si>
  <si>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</si>
  <si>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</si>
  <si>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</si>
  <si>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</si>
  <si>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</si>
  <si>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</si>
  <si>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</si>
  <si>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</si>
  <si>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</si>
  <si>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</si>
  <si>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</si>
  <si>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</si>
  <si>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</si>
  <si>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</si>
  <si>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</si>
  <si>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</si>
  <si>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</si>
  <si>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</si>
  <si>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</si>
  <si>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</si>
  <si>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</si>
  <si>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</si>
  <si>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</si>
  <si>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</si>
  <si>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</si>
  <si>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</si>
  <si>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</si>
  <si>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</si>
  <si>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</si>
  <si>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</si>
  <si>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</si>
  <si>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</si>
  <si>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</si>
  <si>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</si>
  <si>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</si>
  <si>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</si>
  <si>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</si>
  <si>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</si>
  <si>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</si>
  <si>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</si>
  <si>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</si>
  <si>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</si>
  <si>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</si>
  <si>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</si>
  <si>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</si>
  <si>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</si>
  <si>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</si>
  <si>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</si>
  <si>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</si>
  <si>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</si>
  <si>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</si>
  <si>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</si>
  <si>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</si>
  <si>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</si>
  <si>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</si>
  <si>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</si>
  <si>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</si>
  <si>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</si>
  <si>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</si>
  <si>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</si>
  <si>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</si>
  <si>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</si>
  <si>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</si>
  <si>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</si>
  <si>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</si>
  <si>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</si>
  <si>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</si>
  <si>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</si>
  <si>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</si>
  <si>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</si>
  <si>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</si>
  <si>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</si>
  <si>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</si>
  <si>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</si>
  <si>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</si>
  <si>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</si>
  <si>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</si>
  <si>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</si>
  <si>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</si>
  <si>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</si>
  <si>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</si>
  <si>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</si>
  <si>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</si>
  <si>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</si>
  <si>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</si>
  <si>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</si>
  <si>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</si>
  <si>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</si>
  <si>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</si>
  <si>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</si>
  <si>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</si>
  <si>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</si>
  <si>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</si>
  <si>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</si>
  <si>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</si>
  <si>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</si>
  <si>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</si>
  <si>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</si>
  <si>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</si>
  <si>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</si>
  <si>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</si>
  <si>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</si>
  <si>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</si>
  <si>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</si>
  <si>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</si>
  <si>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</si>
  <si>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</si>
  <si>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</si>
  <si>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</si>
  <si>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</si>
  <si>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</si>
  <si>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</si>
  <si>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</si>
  <si>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</si>
  <si>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</si>
  <si>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</si>
  <si>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</si>
  <si>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</si>
  <si>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</si>
  <si>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</si>
  <si>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</si>
  <si>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</si>
  <si>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</si>
  <si>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</si>
  <si>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</si>
  <si>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</si>
  <si>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</si>
  <si>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</si>
  <si>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</si>
  <si>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</si>
  <si>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</si>
  <si>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</si>
  <si>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</si>
  <si>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</si>
  <si>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</si>
  <si>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</si>
  <si>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</si>
  <si>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</si>
  <si>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</si>
  <si>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</si>
  <si>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</si>
  <si>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</si>
  <si>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</si>
  <si>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</si>
  <si>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</si>
  <si>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</si>
  <si>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</si>
  <si>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</si>
  <si>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</si>
  <si>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</si>
  <si>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</si>
  <si>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</si>
  <si>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</si>
  <si>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</si>
  <si>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</si>
  <si>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</si>
  <si>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</si>
  <si>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</si>
  <si>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</si>
  <si>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</si>
  <si>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</si>
  <si>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</si>
  <si>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</si>
  <si>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</si>
  <si>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</si>
  <si>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</si>
  <si>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</si>
  <si>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</si>
  <si>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</si>
  <si>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</si>
  <si>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</si>
  <si>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</si>
  <si>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</si>
  <si>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</si>
  <si>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</si>
  <si>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</si>
  <si>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</si>
  <si>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</si>
  <si>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</si>
  <si>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</si>
  <si>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</si>
  <si>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</si>
  <si>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</si>
  <si>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</si>
  <si>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</si>
  <si>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</si>
  <si>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</si>
  <si>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</si>
  <si>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</si>
  <si>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</si>
  <si>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</si>
  <si>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</si>
  <si>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</si>
  <si>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</si>
  <si>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</si>
  <si>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</si>
  <si>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</si>
  <si>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</si>
  <si>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</si>
  <si>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</si>
  <si>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</t>
  </si>
  <si>
    <t>Rating 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</si>
</sst>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Aptos Extra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1" fillId="2" borderId="0" xfId="0" applyFont="1" applyFill="1"/>
    <xf numFmtId="0" fontId="0" fillId="0" borderId="3" xfId="0" applyBorder="1"/>
    <xf numFmtId="0" fontId="0" fillId="0" borderId="0" xfId="0" pivotButton="1"/>
    <xf numFmtId="0" fontId="3" fillId="2" borderId="0" xfId="0" applyFont="1" applyFill="1"/>
    <xf numFmtId="2" fontId="0" fillId="0" borderId="0" xfId="0" applyNumberFormat="1"/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0" xfId="0" applyFill="1"/>
    <xf numFmtId="0" fontId="4" fillId="3" borderId="0" xfId="0" applyFont="1" applyFill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1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94292864554737E-2"/>
          <c:y val="5.7924361473944336E-2"/>
          <c:w val="0.90472163365008285"/>
          <c:h val="0.87459381108714551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[1]Sheet6!$D$27</c:f>
              <c:strCache>
                <c:ptCount val="1"/>
                <c:pt idx="0">
                  <c:v>Sum of Purchase Amount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89849C6-C4BE-409D-BF88-EB3E70F75B9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56B-48A3-8667-C4BAD352CD8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7F67A9B-5DDC-4C05-9C83-6B6EED6DC63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56B-48A3-8667-C4BAD352CD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47DF490-2FC6-4BF6-B8F9-B6D91915E3A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56B-48A3-8667-C4BAD352CD8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DC9ADAC-E849-4E64-873F-9F257978B61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56B-48A3-8667-C4BAD352CD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37F8A06-289A-49F4-B811-8686F8025E1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56B-48A3-8667-C4BAD352CD8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74081F7-9044-4DAD-A236-64E93C8981F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56B-48A3-8667-C4BAD352CD8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DCBAFA1-575B-470B-9007-79071AA94C0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56B-48A3-8667-C4BAD352CD8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4FAEFD3-B14E-4C5D-8EAB-1B68090519A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56B-48A3-8667-C4BAD352CD8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E34496C-B81D-45F5-A635-8CE354ACA55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56B-48A3-8667-C4BAD352CD8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7C0A7A4-0CEF-4D1D-ACB5-83BFCB2128F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56B-48A3-8667-C4BAD352CD8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34B9013-9A57-4FFA-8B80-5B139A1D3FA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56B-48A3-8667-C4BAD352CD8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87505D9-96C3-4591-A1BF-C7BAF23BEE1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56B-48A3-8667-C4BAD352CD8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ED346F0-0A21-47EF-8DE7-3995E44C0FD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56B-48A3-8667-C4BAD352CD8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2413185-AC50-4448-AEC9-6856266AD8A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56B-48A3-8667-C4BAD352CD8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EF3673E-11FB-44DC-92B5-4D4ECDD4153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56B-48A3-8667-C4BAD352CD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[1]Sheet6!$C$28:$C$42</c:f>
              <c:numCache>
                <c:formatCode>General</c:formatCode>
                <c:ptCount val="15"/>
                <c:pt idx="0">
                  <c:v>65</c:v>
                </c:pt>
                <c:pt idx="1">
                  <c:v>63</c:v>
                </c:pt>
                <c:pt idx="2">
                  <c:v>50</c:v>
                </c:pt>
                <c:pt idx="3">
                  <c:v>82</c:v>
                </c:pt>
                <c:pt idx="4">
                  <c:v>79</c:v>
                </c:pt>
                <c:pt idx="5">
                  <c:v>62</c:v>
                </c:pt>
                <c:pt idx="6">
                  <c:v>67</c:v>
                </c:pt>
                <c:pt idx="7">
                  <c:v>59</c:v>
                </c:pt>
                <c:pt idx="8">
                  <c:v>69</c:v>
                </c:pt>
                <c:pt idx="9">
                  <c:v>72</c:v>
                </c:pt>
                <c:pt idx="10">
                  <c:v>74</c:v>
                </c:pt>
                <c:pt idx="11">
                  <c:v>70</c:v>
                </c:pt>
                <c:pt idx="12">
                  <c:v>69</c:v>
                </c:pt>
                <c:pt idx="13">
                  <c:v>60</c:v>
                </c:pt>
                <c:pt idx="14">
                  <c:v>59</c:v>
                </c:pt>
              </c:numCache>
            </c:numRef>
          </c:xVal>
          <c:yVal>
            <c:numRef>
              <c:f>[1]Sheet6!$D$28:$D$42</c:f>
              <c:numCache>
                <c:formatCode>General</c:formatCode>
                <c:ptCount val="15"/>
                <c:pt idx="0">
                  <c:v>6785</c:v>
                </c:pt>
                <c:pt idx="1">
                  <c:v>5634</c:v>
                </c:pt>
                <c:pt idx="2">
                  <c:v>4804</c:v>
                </c:pt>
                <c:pt idx="3">
                  <c:v>7689</c:v>
                </c:pt>
                <c:pt idx="4">
                  <c:v>7747</c:v>
                </c:pt>
                <c:pt idx="5">
                  <c:v>6176</c:v>
                </c:pt>
                <c:pt idx="6">
                  <c:v>7216</c:v>
                </c:pt>
                <c:pt idx="7">
                  <c:v>5009</c:v>
                </c:pt>
                <c:pt idx="8">
                  <c:v>6601</c:v>
                </c:pt>
                <c:pt idx="9">
                  <c:v>6242</c:v>
                </c:pt>
                <c:pt idx="10">
                  <c:v>6749</c:v>
                </c:pt>
                <c:pt idx="11">
                  <c:v>6819</c:v>
                </c:pt>
                <c:pt idx="12">
                  <c:v>7230</c:v>
                </c:pt>
                <c:pt idx="13">
                  <c:v>5404</c:v>
                </c:pt>
                <c:pt idx="14">
                  <c:v>6518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[1]Sheet6!$B$28:$B$42</c15:f>
                <c15:dlblRangeCache>
                  <c:ptCount val="15"/>
                  <c:pt idx="0">
                    <c:v>C0001</c:v>
                  </c:pt>
                  <c:pt idx="1">
                    <c:v>C0002</c:v>
                  </c:pt>
                  <c:pt idx="2">
                    <c:v>C0003</c:v>
                  </c:pt>
                  <c:pt idx="3">
                    <c:v>C0004</c:v>
                  </c:pt>
                  <c:pt idx="4">
                    <c:v>C0005</c:v>
                  </c:pt>
                  <c:pt idx="5">
                    <c:v>C0006</c:v>
                  </c:pt>
                  <c:pt idx="6">
                    <c:v>C0007</c:v>
                  </c:pt>
                  <c:pt idx="7">
                    <c:v>C0008</c:v>
                  </c:pt>
                  <c:pt idx="8">
                    <c:v>C0009</c:v>
                  </c:pt>
                  <c:pt idx="9">
                    <c:v>C0010</c:v>
                  </c:pt>
                  <c:pt idx="10">
                    <c:v>C0011</c:v>
                  </c:pt>
                  <c:pt idx="11">
                    <c:v>C0012</c:v>
                  </c:pt>
                  <c:pt idx="12">
                    <c:v>C0013</c:v>
                  </c:pt>
                  <c:pt idx="13">
                    <c:v>C0014</c:v>
                  </c:pt>
                  <c:pt idx="14">
                    <c:v>C0015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256B-48A3-8667-C4BAD352CD88}"/>
            </c:ext>
          </c:extLst>
        </c:ser>
        <c:ser>
          <c:idx val="1"/>
          <c:order val="1"/>
          <c:tx>
            <c:v>Avg Calls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[1]Sheet6!$G$45:$G$46</c:f>
              <c:numCache>
                <c:formatCode>General</c:formatCode>
                <c:ptCount val="2"/>
                <c:pt idx="0">
                  <c:v>66.66</c:v>
                </c:pt>
                <c:pt idx="1">
                  <c:v>66.66</c:v>
                </c:pt>
              </c:numCache>
            </c:numRef>
          </c:xVal>
          <c:yVal>
            <c:numRef>
              <c:f>[1]Sheet6!$H$45:$H$46</c:f>
              <c:numCache>
                <c:formatCode>General</c:formatCode>
                <c:ptCount val="2"/>
                <c:pt idx="0">
                  <c:v>4804</c:v>
                </c:pt>
                <c:pt idx="1">
                  <c:v>7747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56B-48A3-8667-C4BAD352CD88}"/>
            </c:ext>
          </c:extLst>
        </c:ser>
        <c:ser>
          <c:idx val="2"/>
          <c:order val="2"/>
          <c:tx>
            <c:v>Avg revenue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[1]Sheet6!$G$49:$G$50</c:f>
              <c:numCache>
                <c:formatCode>General</c:formatCode>
                <c:ptCount val="2"/>
                <c:pt idx="0">
                  <c:v>50</c:v>
                </c:pt>
                <c:pt idx="1">
                  <c:v>82</c:v>
                </c:pt>
              </c:numCache>
            </c:numRef>
          </c:xVal>
          <c:yVal>
            <c:numRef>
              <c:f>[1]Sheet6!$H$49:$H$50</c:f>
              <c:numCache>
                <c:formatCode>General</c:formatCode>
                <c:ptCount val="2"/>
                <c:pt idx="0">
                  <c:v>6441.53</c:v>
                </c:pt>
                <c:pt idx="1">
                  <c:v>6441.53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56B-48A3-8667-C4BAD352C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485503"/>
        <c:axId val="1956486463"/>
      </c:scatterChart>
      <c:valAx>
        <c:axId val="195648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486463"/>
        <c:crosses val="autoZero"/>
        <c:crossBetween val="midCat"/>
      </c:valAx>
      <c:valAx>
        <c:axId val="195648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48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330927384076972E-2"/>
          <c:y val="7.407407407407407E-2"/>
          <c:w val="0.75765507436570434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R01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3.9750000000000001</c:v>
              </c:pt>
              <c:pt idx="1">
                <c:v>3.5642857142857141</c:v>
              </c:pt>
              <c:pt idx="2">
                <c:v>4.0192307692307683</c:v>
              </c:pt>
              <c:pt idx="3">
                <c:v>3.920689655172414</c:v>
              </c:pt>
              <c:pt idx="4">
                <c:v>3.994117647058824</c:v>
              </c:pt>
              <c:pt idx="5">
                <c:v>4.0933333333333328</c:v>
              </c:pt>
              <c:pt idx="6">
                <c:v>3.7666666666666671</c:v>
              </c:pt>
              <c:pt idx="7">
                <c:v>3.6571428571428575</c:v>
              </c:pt>
              <c:pt idx="8">
                <c:v>4.1090909090909085</c:v>
              </c:pt>
              <c:pt idx="9">
                <c:v>3.9208333333333329</c:v>
              </c:pt>
              <c:pt idx="10">
                <c:v>3.9888888888888889</c:v>
              </c:pt>
              <c:pt idx="11">
                <c:v>3.85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61D-46B8-8A75-5B8EB9760AE9}"/>
            </c:ext>
          </c:extLst>
        </c:ser>
        <c:ser>
          <c:idx val="1"/>
          <c:order val="1"/>
          <c:tx>
            <c:v>R02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3.736842105263158</c:v>
              </c:pt>
              <c:pt idx="1">
                <c:v>4.3099999999999987</c:v>
              </c:pt>
              <c:pt idx="2">
                <c:v>3.9799999999999991</c:v>
              </c:pt>
              <c:pt idx="3">
                <c:v>4.035000000000001</c:v>
              </c:pt>
              <c:pt idx="4">
                <c:v>3.8076923076923084</c:v>
              </c:pt>
              <c:pt idx="5">
                <c:v>3.2583333333333333</c:v>
              </c:pt>
              <c:pt idx="6">
                <c:v>4.2222222222222214</c:v>
              </c:pt>
              <c:pt idx="7">
                <c:v>3.9384615384615382</c:v>
              </c:pt>
              <c:pt idx="8">
                <c:v>3.8555555555555561</c:v>
              </c:pt>
              <c:pt idx="9">
                <c:v>3.9714285714285711</c:v>
              </c:pt>
              <c:pt idx="10">
                <c:v>3.4999999999999996</c:v>
              </c:pt>
              <c:pt idx="11">
                <c:v>3.2777777777777777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61D-46B8-8A75-5B8EB9760AE9}"/>
            </c:ext>
          </c:extLst>
        </c:ser>
        <c:ser>
          <c:idx val="2"/>
          <c:order val="2"/>
          <c:tx>
            <c:v>R03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3.4538461538461531</c:v>
              </c:pt>
              <c:pt idx="1">
                <c:v>3.8000000000000003</c:v>
              </c:pt>
              <c:pt idx="2">
                <c:v>3.8071428571428574</c:v>
              </c:pt>
              <c:pt idx="3">
                <c:v>3.8833333333333329</c:v>
              </c:pt>
              <c:pt idx="4">
                <c:v>3.9130434782608687</c:v>
              </c:pt>
              <c:pt idx="5">
                <c:v>4.1764705882352944</c:v>
              </c:pt>
              <c:pt idx="6">
                <c:v>3.6181818181818177</c:v>
              </c:pt>
              <c:pt idx="7">
                <c:v>3.9181818181818184</c:v>
              </c:pt>
              <c:pt idx="8">
                <c:v>3.9285714285714284</c:v>
              </c:pt>
              <c:pt idx="9">
                <c:v>3.8833333333333337</c:v>
              </c:pt>
              <c:pt idx="10">
                <c:v>3.8214285714285707</c:v>
              </c:pt>
              <c:pt idx="11">
                <c:v>3.9777777777777783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561D-46B8-8A75-5B8EB9760AE9}"/>
            </c:ext>
          </c:extLst>
        </c:ser>
        <c:ser>
          <c:idx val="3"/>
          <c:order val="3"/>
          <c:tx>
            <c:v>R04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3.8600000000000003</c:v>
              </c:pt>
              <c:pt idx="1">
                <c:v>3.8727272727272721</c:v>
              </c:pt>
              <c:pt idx="2">
                <c:v>4.0200000000000005</c:v>
              </c:pt>
              <c:pt idx="3">
                <c:v>3.8260869565217392</c:v>
              </c:pt>
              <c:pt idx="4">
                <c:v>4.1318181818181818</c:v>
              </c:pt>
              <c:pt idx="5">
                <c:v>3.6909090909090909</c:v>
              </c:pt>
              <c:pt idx="6">
                <c:v>3.6411764705882357</c:v>
              </c:pt>
              <c:pt idx="7">
                <c:v>3.8666666666666658</c:v>
              </c:pt>
              <c:pt idx="8">
                <c:v>3.592307692307692</c:v>
              </c:pt>
              <c:pt idx="9">
                <c:v>4.0733333333333333</c:v>
              </c:pt>
              <c:pt idx="10">
                <c:v>4.1749999999999998</c:v>
              </c:pt>
              <c:pt idx="11">
                <c:v>3.8642857142857139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561D-46B8-8A75-5B8EB9760AE9}"/>
            </c:ext>
          </c:extLst>
        </c:ser>
        <c:ser>
          <c:idx val="4"/>
          <c:order val="4"/>
          <c:tx>
            <c:v>R05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4.1476190476190471</c:v>
              </c:pt>
              <c:pt idx="1">
                <c:v>3.6999999999999997</c:v>
              </c:pt>
              <c:pt idx="2">
                <c:v>3.7387096774193553</c:v>
              </c:pt>
              <c:pt idx="3">
                <c:v>3.7299999999999995</c:v>
              </c:pt>
              <c:pt idx="4">
                <c:v>3.5250000000000004</c:v>
              </c:pt>
              <c:pt idx="5">
                <c:v>3.9666666666666668</c:v>
              </c:pt>
              <c:pt idx="6">
                <c:v>4.0666666666666664</c:v>
              </c:pt>
              <c:pt idx="7">
                <c:v>4.2714285714285714</c:v>
              </c:pt>
              <c:pt idx="8">
                <c:v>3.9799999999999995</c:v>
              </c:pt>
              <c:pt idx="9">
                <c:v>3.9291666666666658</c:v>
              </c:pt>
              <c:pt idx="10">
                <c:v>3.9416666666666664</c:v>
              </c:pt>
              <c:pt idx="11">
                <c:v>3.7733333333333334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561D-46B8-8A75-5B8EB9760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420944"/>
        <c:axId val="1328421424"/>
      </c:lineChart>
      <c:catAx>
        <c:axId val="132842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421424"/>
        <c:crosses val="autoZero"/>
        <c:auto val="1"/>
        <c:lblAlgn val="ctr"/>
        <c:lblOffset val="100"/>
        <c:noMultiLvlLbl val="0"/>
      </c:catAx>
      <c:valAx>
        <c:axId val="13284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42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7</xdr:row>
      <xdr:rowOff>144780</xdr:rowOff>
    </xdr:from>
    <xdr:to>
      <xdr:col>9</xdr:col>
      <xdr:colOff>1524000</xdr:colOff>
      <xdr:row>27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F7CDF-35FA-4A59-A10F-74748D59B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114300</xdr:rowOff>
    </xdr:from>
    <xdr:to>
      <xdr:col>15</xdr:col>
      <xdr:colOff>22860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C3A30-503D-465B-BA83-3BD9A3C8B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ti\OneDrive\Desktop\EXcel\4-hour-course-xl-files\my%20excel\8-10.xlsx" TargetMode="External"/><Relationship Id="rId1" Type="http://schemas.openxmlformats.org/officeDocument/2006/relationships/externalLinkPath" Target="8-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"/>
      <sheetName val="9"/>
      <sheetName val="10"/>
      <sheetName val="Sheet6"/>
      <sheetName val="Sheet1"/>
      <sheetName val="data"/>
    </sheetNames>
    <sheetDataSet>
      <sheetData sheetId="0"/>
      <sheetData sheetId="1"/>
      <sheetData sheetId="2"/>
      <sheetData sheetId="3">
        <row r="27">
          <cell r="D27" t="str">
            <v>Sum of Purchase Amount</v>
          </cell>
        </row>
        <row r="28">
          <cell r="B28" t="str">
            <v>C0001</v>
          </cell>
          <cell r="C28">
            <v>65</v>
          </cell>
          <cell r="D28">
            <v>6785</v>
          </cell>
        </row>
        <row r="29">
          <cell r="B29" t="str">
            <v>C0002</v>
          </cell>
          <cell r="C29">
            <v>63</v>
          </cell>
          <cell r="D29">
            <v>5634</v>
          </cell>
        </row>
        <row r="30">
          <cell r="B30" t="str">
            <v>C0003</v>
          </cell>
          <cell r="C30">
            <v>50</v>
          </cell>
          <cell r="D30">
            <v>4804</v>
          </cell>
        </row>
        <row r="31">
          <cell r="B31" t="str">
            <v>C0004</v>
          </cell>
          <cell r="C31">
            <v>82</v>
          </cell>
          <cell r="D31">
            <v>7689</v>
          </cell>
        </row>
        <row r="32">
          <cell r="B32" t="str">
            <v>C0005</v>
          </cell>
          <cell r="C32">
            <v>79</v>
          </cell>
          <cell r="D32">
            <v>7747</v>
          </cell>
        </row>
        <row r="33">
          <cell r="B33" t="str">
            <v>C0006</v>
          </cell>
          <cell r="C33">
            <v>62</v>
          </cell>
          <cell r="D33">
            <v>6176</v>
          </cell>
        </row>
        <row r="34">
          <cell r="B34" t="str">
            <v>C0007</v>
          </cell>
          <cell r="C34">
            <v>67</v>
          </cell>
          <cell r="D34">
            <v>7216</v>
          </cell>
        </row>
        <row r="35">
          <cell r="B35" t="str">
            <v>C0008</v>
          </cell>
          <cell r="C35">
            <v>59</v>
          </cell>
          <cell r="D35">
            <v>5009</v>
          </cell>
        </row>
        <row r="36">
          <cell r="B36" t="str">
            <v>C0009</v>
          </cell>
          <cell r="C36">
            <v>69</v>
          </cell>
          <cell r="D36">
            <v>6601</v>
          </cell>
        </row>
        <row r="37">
          <cell r="B37" t="str">
            <v>C0010</v>
          </cell>
          <cell r="C37">
            <v>72</v>
          </cell>
          <cell r="D37">
            <v>6242</v>
          </cell>
        </row>
        <row r="38">
          <cell r="B38" t="str">
            <v>C0011</v>
          </cell>
          <cell r="C38">
            <v>74</v>
          </cell>
          <cell r="D38">
            <v>6749</v>
          </cell>
        </row>
        <row r="39">
          <cell r="B39" t="str">
            <v>C0012</v>
          </cell>
          <cell r="C39">
            <v>70</v>
          </cell>
          <cell r="D39">
            <v>6819</v>
          </cell>
        </row>
        <row r="40">
          <cell r="B40" t="str">
            <v>C0013</v>
          </cell>
          <cell r="C40">
            <v>69</v>
          </cell>
          <cell r="D40">
            <v>7230</v>
          </cell>
        </row>
        <row r="41">
          <cell r="B41" t="str">
            <v>C0014</v>
          </cell>
          <cell r="C41">
            <v>60</v>
          </cell>
          <cell r="D41">
            <v>5404</v>
          </cell>
        </row>
        <row r="42">
          <cell r="B42" t="str">
            <v>C0015</v>
          </cell>
          <cell r="C42">
            <v>59</v>
          </cell>
          <cell r="D42">
            <v>6518</v>
          </cell>
        </row>
        <row r="45">
          <cell r="G45">
            <v>66.66</v>
          </cell>
          <cell r="H45">
            <v>4804</v>
          </cell>
        </row>
        <row r="46">
          <cell r="G46">
            <v>66.66</v>
          </cell>
          <cell r="H46">
            <v>7747</v>
          </cell>
        </row>
        <row r="49">
          <cell r="G49">
            <v>50</v>
          </cell>
          <cell r="H49">
            <v>6441.53</v>
          </cell>
        </row>
        <row r="50">
          <cell r="G50">
            <v>82</v>
          </cell>
          <cell r="H50">
            <v>6441.53</v>
          </cell>
        </row>
      </sheetData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8-10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Shaktawat" refreshedDate="46165.502088773152" createdVersion="8" refreshedVersion="8" minRefreshableVersion="3" recordCount="1000" xr:uid="{AF99B15B-A465-48C3-AD6B-64EFD9525465}">
  <cacheSource type="worksheet">
    <worksheetSource name="Table13" r:id="rId2"/>
  </cacheSource>
  <cacheFields count="13">
    <cacheField name="Call number" numFmtId="0">
      <sharedItems/>
    </cacheField>
    <cacheField name="Customer ID" numFmtId="0">
      <sharedItems count="15">
        <s v="C0003"/>
        <s v="C0004"/>
        <s v="C0005"/>
        <s v="C0014"/>
        <s v="C0011"/>
        <s v="C0007"/>
        <s v="C0010"/>
        <s v="C0013"/>
        <s v="C0002"/>
        <s v="C0009"/>
        <s v="C0006"/>
        <s v="C0015"/>
        <s v="C0012"/>
        <s v="C0001"/>
        <s v="C0008"/>
      </sharedItems>
    </cacheField>
    <cacheField name="Duration" numFmtId="0">
      <sharedItems containsSemiMixedTypes="0" containsString="0" containsNumber="1" containsInteger="1" minValue="2" maxValue="176"/>
    </cacheField>
    <cacheField name="Representative" numFmtId="2">
      <sharedItems count="5">
        <s v="R05"/>
        <s v="R02"/>
        <s v="R01"/>
        <s v="R04"/>
        <s v="R03"/>
      </sharedItems>
    </cacheField>
    <cacheField name="Date of Call" numFmtId="164">
      <sharedItems containsSemiMixedTypes="0" containsNonDate="0" containsDate="1" containsString="0" minDate="2023-01-01T00:00:00" maxDate="2024-01-01T00:00:00" count="33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2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4T00:00:00"/>
        <d v="2023-02-05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5T00:00:00"/>
        <d v="2023-07-26T00:00:00"/>
        <d v="2023-07-27T00:00:00"/>
        <d v="2023-07-28T00:00:00"/>
        <d v="2023-07-29T00:00:00"/>
        <d v="2023-07-3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10T00:00:00"/>
        <d v="2023-08-12T00:00:00"/>
        <d v="2023-08-13T00:00:00"/>
        <d v="2023-08-16T00:00:00"/>
        <d v="2023-08-17T00:00:00"/>
        <d v="2023-08-18T00:00:00"/>
        <d v="2023-08-19T00:00:00"/>
        <d v="2023-08-20T00:00:00"/>
        <d v="2023-08-21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3T00:00:00"/>
        <d v="2023-11-24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12"/>
    </cacheField>
    <cacheField name="Purchase Amount" numFmtId="0">
      <sharedItems containsSemiMixedTypes="0" containsString="0" containsNumber="1" containsInteger="1" minValue="20" maxValue="225"/>
    </cacheField>
    <cacheField name="Satisfaction Rating" numFmtId="0">
      <sharedItems containsSemiMixedTypes="0" containsString="0" containsNumber="1" minValue="0" maxValue="5"/>
    </cacheField>
    <cacheField name="FY" numFmtId="0">
      <sharedItems containsSemiMixedTypes="0" containsString="0" containsNumber="1" containsInteger="1" minValue="2023" maxValue="2024"/>
    </cacheField>
    <cacheField name="Day of Week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Duration Bucket" numFmtId="0">
      <sharedItems count="5">
        <s v="1 to 2 hours"/>
        <s v="More than 2 hours"/>
        <s v="30 to 60 mins"/>
        <s v="10 to 30 mins"/>
        <s v="Under 10 mins"/>
      </sharedItems>
    </cacheField>
    <cacheField name="Rating Rounded" numFmtId="0">
      <sharedItems containsSemiMixedTypes="0" containsString="0" containsNumber="1" containsInteger="1" minValue="0" maxValue="5" count="6">
        <n v="5"/>
        <n v="3"/>
        <n v="4"/>
        <n v="2"/>
        <n v="0"/>
        <n v="1"/>
      </sharedItems>
    </cacheField>
    <cacheField name="Days (Date of Call)" numFmtId="0" databaseField="0">
      <fieldGroup base="4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 of Call)" numFmtId="0" databaseField="0">
      <fieldGroup base="4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all_7271"/>
    <x v="0"/>
    <n v="116"/>
    <x v="0"/>
    <x v="0"/>
    <n v="128"/>
    <n v="4.9000000000000004"/>
    <n v="2023"/>
    <x v="0"/>
    <x v="0"/>
    <x v="0"/>
  </r>
  <r>
    <s v="Call_7272"/>
    <x v="1"/>
    <n v="119"/>
    <x v="0"/>
    <x v="0"/>
    <n v="135"/>
    <n v="2.9"/>
    <n v="2023"/>
    <x v="0"/>
    <x v="0"/>
    <x v="1"/>
  </r>
  <r>
    <s v="Call_7273"/>
    <x v="2"/>
    <n v="68"/>
    <x v="1"/>
    <x v="0"/>
    <n v="66"/>
    <n v="4.7"/>
    <n v="2023"/>
    <x v="0"/>
    <x v="0"/>
    <x v="0"/>
  </r>
  <r>
    <s v="Call_7274"/>
    <x v="3"/>
    <n v="119"/>
    <x v="1"/>
    <x v="0"/>
    <n v="22"/>
    <n v="2.9"/>
    <n v="2023"/>
    <x v="0"/>
    <x v="0"/>
    <x v="1"/>
  </r>
  <r>
    <s v="Call_7275"/>
    <x v="4"/>
    <n v="128"/>
    <x v="2"/>
    <x v="1"/>
    <n v="31"/>
    <n v="2.8"/>
    <n v="2023"/>
    <x v="1"/>
    <x v="1"/>
    <x v="1"/>
  </r>
  <r>
    <s v="Call_7276"/>
    <x v="4"/>
    <n v="49"/>
    <x v="1"/>
    <x v="2"/>
    <n v="135"/>
    <n v="4.8"/>
    <n v="2023"/>
    <x v="2"/>
    <x v="2"/>
    <x v="0"/>
  </r>
  <r>
    <s v="Call_7277"/>
    <x v="5"/>
    <n v="84"/>
    <x v="0"/>
    <x v="2"/>
    <n v="60"/>
    <n v="4.7"/>
    <n v="2023"/>
    <x v="2"/>
    <x v="0"/>
    <x v="0"/>
  </r>
  <r>
    <s v="Call_7278"/>
    <x v="0"/>
    <n v="103"/>
    <x v="3"/>
    <x v="2"/>
    <n v="148"/>
    <n v="4.4000000000000004"/>
    <n v="2023"/>
    <x v="2"/>
    <x v="0"/>
    <x v="2"/>
  </r>
  <r>
    <s v="Call_7279"/>
    <x v="2"/>
    <n v="31"/>
    <x v="1"/>
    <x v="2"/>
    <n v="135"/>
    <n v="3.6"/>
    <n v="2023"/>
    <x v="2"/>
    <x v="2"/>
    <x v="2"/>
  </r>
  <r>
    <s v="Call_7280"/>
    <x v="6"/>
    <n v="44"/>
    <x v="4"/>
    <x v="2"/>
    <n v="105"/>
    <n v="2.9"/>
    <n v="2023"/>
    <x v="2"/>
    <x v="2"/>
    <x v="1"/>
  </r>
  <r>
    <s v="Call_7281"/>
    <x v="4"/>
    <n v="102"/>
    <x v="1"/>
    <x v="2"/>
    <n v="69"/>
    <n v="4.9000000000000004"/>
    <n v="2023"/>
    <x v="2"/>
    <x v="0"/>
    <x v="0"/>
  </r>
  <r>
    <s v="Call_7282"/>
    <x v="7"/>
    <n v="135"/>
    <x v="0"/>
    <x v="2"/>
    <n v="46"/>
    <n v="3.4"/>
    <n v="2023"/>
    <x v="2"/>
    <x v="1"/>
    <x v="1"/>
  </r>
  <r>
    <s v="Call_7283"/>
    <x v="8"/>
    <n v="98"/>
    <x v="1"/>
    <x v="3"/>
    <n v="108"/>
    <n v="3.5"/>
    <n v="2023"/>
    <x v="3"/>
    <x v="0"/>
    <x v="2"/>
  </r>
  <r>
    <s v="Call_7284"/>
    <x v="6"/>
    <n v="139"/>
    <x v="1"/>
    <x v="3"/>
    <n v="96"/>
    <n v="4"/>
    <n v="2023"/>
    <x v="3"/>
    <x v="1"/>
    <x v="2"/>
  </r>
  <r>
    <s v="Call_7285"/>
    <x v="7"/>
    <n v="48"/>
    <x v="2"/>
    <x v="3"/>
    <n v="68"/>
    <n v="4.9000000000000004"/>
    <n v="2023"/>
    <x v="3"/>
    <x v="2"/>
    <x v="0"/>
  </r>
  <r>
    <s v="Call_7286"/>
    <x v="6"/>
    <n v="176"/>
    <x v="0"/>
    <x v="4"/>
    <n v="24"/>
    <n v="4.8"/>
    <n v="2023"/>
    <x v="4"/>
    <x v="1"/>
    <x v="0"/>
  </r>
  <r>
    <s v="Call_7287"/>
    <x v="6"/>
    <n v="99"/>
    <x v="2"/>
    <x v="4"/>
    <n v="195"/>
    <n v="3.9"/>
    <n v="2023"/>
    <x v="4"/>
    <x v="0"/>
    <x v="2"/>
  </r>
  <r>
    <s v="Call_7288"/>
    <x v="9"/>
    <n v="28"/>
    <x v="4"/>
    <x v="4"/>
    <n v="28"/>
    <n v="3.8"/>
    <n v="2023"/>
    <x v="4"/>
    <x v="3"/>
    <x v="2"/>
  </r>
  <r>
    <s v="Call_7289"/>
    <x v="5"/>
    <n v="54"/>
    <x v="1"/>
    <x v="4"/>
    <n v="170"/>
    <n v="4.3"/>
    <n v="2023"/>
    <x v="4"/>
    <x v="2"/>
    <x v="2"/>
  </r>
  <r>
    <s v="Call_7290"/>
    <x v="10"/>
    <n v="48"/>
    <x v="0"/>
    <x v="5"/>
    <n v="30"/>
    <n v="4.4000000000000004"/>
    <n v="2023"/>
    <x v="5"/>
    <x v="2"/>
    <x v="2"/>
  </r>
  <r>
    <s v="Call_7291"/>
    <x v="1"/>
    <n v="128"/>
    <x v="0"/>
    <x v="5"/>
    <n v="72"/>
    <n v="5"/>
    <n v="2023"/>
    <x v="5"/>
    <x v="1"/>
    <x v="0"/>
  </r>
  <r>
    <s v="Call_7292"/>
    <x v="1"/>
    <n v="38"/>
    <x v="3"/>
    <x v="6"/>
    <n v="92"/>
    <n v="4.9000000000000004"/>
    <n v="2023"/>
    <x v="6"/>
    <x v="2"/>
    <x v="0"/>
  </r>
  <r>
    <s v="Call_7293"/>
    <x v="0"/>
    <n v="67"/>
    <x v="3"/>
    <x v="7"/>
    <n v="165"/>
    <n v="4.5"/>
    <n v="2023"/>
    <x v="0"/>
    <x v="0"/>
    <x v="0"/>
  </r>
  <r>
    <s v="Call_7294"/>
    <x v="11"/>
    <n v="58"/>
    <x v="1"/>
    <x v="7"/>
    <n v="140"/>
    <n v="2.1"/>
    <n v="2023"/>
    <x v="0"/>
    <x v="2"/>
    <x v="3"/>
  </r>
  <r>
    <s v="Call_7295"/>
    <x v="6"/>
    <n v="54"/>
    <x v="2"/>
    <x v="7"/>
    <n v="111"/>
    <n v="3.3"/>
    <n v="2023"/>
    <x v="0"/>
    <x v="2"/>
    <x v="1"/>
  </r>
  <r>
    <s v="Call_7296"/>
    <x v="12"/>
    <n v="28"/>
    <x v="0"/>
    <x v="8"/>
    <n v="63"/>
    <n v="4.0999999999999996"/>
    <n v="2023"/>
    <x v="1"/>
    <x v="3"/>
    <x v="2"/>
  </r>
  <r>
    <s v="Call_7297"/>
    <x v="8"/>
    <n v="73"/>
    <x v="0"/>
    <x v="8"/>
    <n v="80"/>
    <n v="4.2"/>
    <n v="2023"/>
    <x v="1"/>
    <x v="0"/>
    <x v="2"/>
  </r>
  <r>
    <s v="Call_7298"/>
    <x v="4"/>
    <n v="81"/>
    <x v="0"/>
    <x v="9"/>
    <n v="50"/>
    <n v="4.5999999999999996"/>
    <n v="2023"/>
    <x v="2"/>
    <x v="0"/>
    <x v="0"/>
  </r>
  <r>
    <s v="Call_7299"/>
    <x v="9"/>
    <n v="31"/>
    <x v="3"/>
    <x v="9"/>
    <n v="123"/>
    <n v="2.9"/>
    <n v="2023"/>
    <x v="2"/>
    <x v="2"/>
    <x v="1"/>
  </r>
  <r>
    <s v="Call_7300"/>
    <x v="11"/>
    <n v="155"/>
    <x v="2"/>
    <x v="9"/>
    <n v="110"/>
    <n v="4.8"/>
    <n v="2023"/>
    <x v="2"/>
    <x v="1"/>
    <x v="0"/>
  </r>
  <r>
    <s v="Call_7301"/>
    <x v="9"/>
    <n v="80"/>
    <x v="0"/>
    <x v="9"/>
    <n v="140"/>
    <n v="4.2"/>
    <n v="2023"/>
    <x v="2"/>
    <x v="0"/>
    <x v="2"/>
  </r>
  <r>
    <s v="Call_7302"/>
    <x v="4"/>
    <n v="82"/>
    <x v="0"/>
    <x v="10"/>
    <n v="42"/>
    <n v="3.7"/>
    <n v="2023"/>
    <x v="4"/>
    <x v="0"/>
    <x v="2"/>
  </r>
  <r>
    <s v="Call_7303"/>
    <x v="4"/>
    <n v="29"/>
    <x v="2"/>
    <x v="10"/>
    <n v="170"/>
    <n v="5"/>
    <n v="2023"/>
    <x v="4"/>
    <x v="3"/>
    <x v="0"/>
  </r>
  <r>
    <s v="Call_7304"/>
    <x v="10"/>
    <n v="160"/>
    <x v="1"/>
    <x v="11"/>
    <n v="105"/>
    <n v="5"/>
    <n v="2023"/>
    <x v="6"/>
    <x v="1"/>
    <x v="0"/>
  </r>
  <r>
    <s v="Call_7305"/>
    <x v="13"/>
    <n v="105"/>
    <x v="0"/>
    <x v="12"/>
    <n v="125"/>
    <n v="4.8"/>
    <n v="2023"/>
    <x v="0"/>
    <x v="0"/>
    <x v="0"/>
  </r>
  <r>
    <s v="Call_7306"/>
    <x v="9"/>
    <n v="75"/>
    <x v="4"/>
    <x v="12"/>
    <n v="26"/>
    <n v="2.4"/>
    <n v="2023"/>
    <x v="0"/>
    <x v="0"/>
    <x v="3"/>
  </r>
  <r>
    <s v="Call_7307"/>
    <x v="11"/>
    <n v="94"/>
    <x v="4"/>
    <x v="13"/>
    <n v="120"/>
    <n v="3.1"/>
    <n v="2023"/>
    <x v="1"/>
    <x v="0"/>
    <x v="1"/>
  </r>
  <r>
    <s v="Call_7308"/>
    <x v="1"/>
    <n v="90"/>
    <x v="1"/>
    <x v="13"/>
    <n v="132"/>
    <n v="3.2"/>
    <n v="2023"/>
    <x v="1"/>
    <x v="0"/>
    <x v="1"/>
  </r>
  <r>
    <s v="Call_7309"/>
    <x v="11"/>
    <n v="81"/>
    <x v="3"/>
    <x v="14"/>
    <n v="86"/>
    <n v="2.4"/>
    <n v="2023"/>
    <x v="2"/>
    <x v="0"/>
    <x v="3"/>
  </r>
  <r>
    <s v="Call_7310"/>
    <x v="9"/>
    <n v="106"/>
    <x v="0"/>
    <x v="14"/>
    <n v="108"/>
    <n v="5"/>
    <n v="2023"/>
    <x v="2"/>
    <x v="0"/>
    <x v="0"/>
  </r>
  <r>
    <s v="Call_7311"/>
    <x v="1"/>
    <n v="74"/>
    <x v="3"/>
    <x v="14"/>
    <n v="96"/>
    <n v="4.7"/>
    <n v="2023"/>
    <x v="2"/>
    <x v="0"/>
    <x v="0"/>
  </r>
  <r>
    <s v="Call_7312"/>
    <x v="6"/>
    <n v="105"/>
    <x v="1"/>
    <x v="15"/>
    <n v="80"/>
    <n v="4.7"/>
    <n v="2023"/>
    <x v="3"/>
    <x v="0"/>
    <x v="0"/>
  </r>
  <r>
    <s v="Call_7313"/>
    <x v="9"/>
    <n v="89"/>
    <x v="0"/>
    <x v="15"/>
    <n v="155"/>
    <n v="4.0999999999999996"/>
    <n v="2023"/>
    <x v="3"/>
    <x v="0"/>
    <x v="2"/>
  </r>
  <r>
    <s v="Call_7314"/>
    <x v="7"/>
    <n v="132"/>
    <x v="4"/>
    <x v="15"/>
    <n v="168"/>
    <n v="4.0999999999999996"/>
    <n v="2023"/>
    <x v="3"/>
    <x v="1"/>
    <x v="2"/>
  </r>
  <r>
    <s v="Call_7315"/>
    <x v="13"/>
    <n v="105"/>
    <x v="2"/>
    <x v="15"/>
    <n v="56"/>
    <n v="3.6"/>
    <n v="2023"/>
    <x v="3"/>
    <x v="0"/>
    <x v="2"/>
  </r>
  <r>
    <s v="Call_7316"/>
    <x v="4"/>
    <n v="13"/>
    <x v="4"/>
    <x v="16"/>
    <n v="32"/>
    <n v="4.4000000000000004"/>
    <n v="2023"/>
    <x v="4"/>
    <x v="3"/>
    <x v="2"/>
  </r>
  <r>
    <s v="Call_7317"/>
    <x v="3"/>
    <n v="131"/>
    <x v="2"/>
    <x v="16"/>
    <n v="78"/>
    <n v="4.4000000000000004"/>
    <n v="2023"/>
    <x v="4"/>
    <x v="1"/>
    <x v="2"/>
  </r>
  <r>
    <s v="Call_7318"/>
    <x v="1"/>
    <n v="104"/>
    <x v="0"/>
    <x v="16"/>
    <n v="86"/>
    <n v="4"/>
    <n v="2023"/>
    <x v="4"/>
    <x v="0"/>
    <x v="2"/>
  </r>
  <r>
    <s v="Call_7319"/>
    <x v="0"/>
    <n v="90"/>
    <x v="1"/>
    <x v="17"/>
    <n v="64"/>
    <n v="3.8"/>
    <n v="2023"/>
    <x v="5"/>
    <x v="0"/>
    <x v="2"/>
  </r>
  <r>
    <s v="Call_7320"/>
    <x v="12"/>
    <n v="37"/>
    <x v="1"/>
    <x v="17"/>
    <n v="96"/>
    <n v="3.6"/>
    <n v="2023"/>
    <x v="5"/>
    <x v="2"/>
    <x v="2"/>
  </r>
  <r>
    <s v="Call_7321"/>
    <x v="8"/>
    <n v="149"/>
    <x v="2"/>
    <x v="17"/>
    <n v="72"/>
    <n v="4.3"/>
    <n v="2023"/>
    <x v="5"/>
    <x v="1"/>
    <x v="2"/>
  </r>
  <r>
    <s v="Call_7322"/>
    <x v="7"/>
    <n v="100"/>
    <x v="3"/>
    <x v="18"/>
    <n v="135"/>
    <n v="3.8"/>
    <n v="2023"/>
    <x v="6"/>
    <x v="0"/>
    <x v="2"/>
  </r>
  <r>
    <s v="Call_7323"/>
    <x v="7"/>
    <n v="79"/>
    <x v="4"/>
    <x v="18"/>
    <n v="140"/>
    <n v="4.5"/>
    <n v="2023"/>
    <x v="6"/>
    <x v="0"/>
    <x v="0"/>
  </r>
  <r>
    <s v="Call_7324"/>
    <x v="14"/>
    <n v="157"/>
    <x v="2"/>
    <x v="18"/>
    <n v="69"/>
    <n v="4.5"/>
    <n v="2023"/>
    <x v="6"/>
    <x v="1"/>
    <x v="0"/>
  </r>
  <r>
    <s v="Call_7325"/>
    <x v="7"/>
    <n v="59"/>
    <x v="0"/>
    <x v="19"/>
    <n v="136"/>
    <n v="4.5999999999999996"/>
    <n v="2023"/>
    <x v="0"/>
    <x v="2"/>
    <x v="0"/>
  </r>
  <r>
    <s v="Call_7326"/>
    <x v="12"/>
    <n v="83"/>
    <x v="2"/>
    <x v="19"/>
    <n v="28"/>
    <n v="4.5"/>
    <n v="2023"/>
    <x v="0"/>
    <x v="0"/>
    <x v="0"/>
  </r>
  <r>
    <s v="Call_7327"/>
    <x v="14"/>
    <n v="58"/>
    <x v="1"/>
    <x v="20"/>
    <n v="135"/>
    <n v="3.3"/>
    <n v="2023"/>
    <x v="1"/>
    <x v="2"/>
    <x v="1"/>
  </r>
  <r>
    <s v="Call_7328"/>
    <x v="11"/>
    <n v="118"/>
    <x v="1"/>
    <x v="20"/>
    <n v="126"/>
    <n v="2.2999999999999998"/>
    <n v="2023"/>
    <x v="1"/>
    <x v="0"/>
    <x v="3"/>
  </r>
  <r>
    <s v="Call_7329"/>
    <x v="4"/>
    <n v="63"/>
    <x v="0"/>
    <x v="20"/>
    <n v="160"/>
    <n v="4.3"/>
    <n v="2023"/>
    <x v="1"/>
    <x v="0"/>
    <x v="2"/>
  </r>
  <r>
    <s v="Call_7330"/>
    <x v="14"/>
    <n v="95"/>
    <x v="1"/>
    <x v="21"/>
    <n v="48"/>
    <n v="4.5999999999999996"/>
    <n v="2023"/>
    <x v="2"/>
    <x v="0"/>
    <x v="0"/>
  </r>
  <r>
    <s v="Call_7331"/>
    <x v="7"/>
    <n v="74"/>
    <x v="2"/>
    <x v="21"/>
    <n v="66"/>
    <n v="4"/>
    <n v="2023"/>
    <x v="2"/>
    <x v="0"/>
    <x v="2"/>
  </r>
  <r>
    <s v="Call_7332"/>
    <x v="6"/>
    <n v="130"/>
    <x v="3"/>
    <x v="21"/>
    <n v="126"/>
    <n v="2.5"/>
    <n v="2023"/>
    <x v="2"/>
    <x v="1"/>
    <x v="1"/>
  </r>
  <r>
    <s v="Call_7333"/>
    <x v="11"/>
    <n v="110"/>
    <x v="4"/>
    <x v="21"/>
    <n v="96"/>
    <n v="5"/>
    <n v="2023"/>
    <x v="2"/>
    <x v="0"/>
    <x v="0"/>
  </r>
  <r>
    <s v="Call_7334"/>
    <x v="7"/>
    <n v="71"/>
    <x v="0"/>
    <x v="22"/>
    <n v="90"/>
    <n v="3.8"/>
    <n v="2023"/>
    <x v="3"/>
    <x v="0"/>
    <x v="2"/>
  </r>
  <r>
    <s v="Call_7335"/>
    <x v="13"/>
    <n v="147"/>
    <x v="3"/>
    <x v="22"/>
    <n v="105"/>
    <n v="4.4000000000000004"/>
    <n v="2023"/>
    <x v="3"/>
    <x v="1"/>
    <x v="2"/>
  </r>
  <r>
    <s v="Call_7336"/>
    <x v="1"/>
    <n v="69"/>
    <x v="1"/>
    <x v="23"/>
    <n v="40"/>
    <n v="3.8"/>
    <n v="2023"/>
    <x v="4"/>
    <x v="0"/>
    <x v="2"/>
  </r>
  <r>
    <s v="Call_7337"/>
    <x v="11"/>
    <n v="50"/>
    <x v="0"/>
    <x v="23"/>
    <n v="60"/>
    <n v="2"/>
    <n v="2023"/>
    <x v="4"/>
    <x v="2"/>
    <x v="3"/>
  </r>
  <r>
    <s v="Call_7338"/>
    <x v="6"/>
    <n v="124"/>
    <x v="3"/>
    <x v="24"/>
    <n v="215"/>
    <n v="4.0999999999999996"/>
    <n v="2023"/>
    <x v="5"/>
    <x v="1"/>
    <x v="2"/>
  </r>
  <r>
    <s v="Call_7339"/>
    <x v="2"/>
    <n v="81"/>
    <x v="2"/>
    <x v="24"/>
    <n v="156"/>
    <n v="2.6"/>
    <n v="2023"/>
    <x v="5"/>
    <x v="0"/>
    <x v="1"/>
  </r>
  <r>
    <s v="Call_7340"/>
    <x v="10"/>
    <n v="141"/>
    <x v="4"/>
    <x v="24"/>
    <n v="54"/>
    <n v="0"/>
    <n v="2023"/>
    <x v="5"/>
    <x v="1"/>
    <x v="4"/>
  </r>
  <r>
    <s v="Call_7341"/>
    <x v="10"/>
    <n v="168"/>
    <x v="4"/>
    <x v="25"/>
    <n v="160"/>
    <n v="3.9"/>
    <n v="2023"/>
    <x v="6"/>
    <x v="1"/>
    <x v="2"/>
  </r>
  <r>
    <s v="Call_7342"/>
    <x v="13"/>
    <n v="101"/>
    <x v="2"/>
    <x v="25"/>
    <n v="80"/>
    <n v="4.8"/>
    <n v="2023"/>
    <x v="6"/>
    <x v="0"/>
    <x v="0"/>
  </r>
  <r>
    <s v="Call_7343"/>
    <x v="7"/>
    <n v="67"/>
    <x v="2"/>
    <x v="25"/>
    <n v="168"/>
    <n v="2.6"/>
    <n v="2023"/>
    <x v="6"/>
    <x v="0"/>
    <x v="1"/>
  </r>
  <r>
    <s v="Call_7344"/>
    <x v="14"/>
    <n v="114"/>
    <x v="4"/>
    <x v="26"/>
    <n v="42"/>
    <n v="2.6"/>
    <n v="2023"/>
    <x v="1"/>
    <x v="0"/>
    <x v="1"/>
  </r>
  <r>
    <s v="Call_7345"/>
    <x v="2"/>
    <n v="42"/>
    <x v="2"/>
    <x v="26"/>
    <n v="205"/>
    <n v="3.6"/>
    <n v="2023"/>
    <x v="1"/>
    <x v="2"/>
    <x v="2"/>
  </r>
  <r>
    <s v="Call_7346"/>
    <x v="4"/>
    <n v="69"/>
    <x v="4"/>
    <x v="26"/>
    <n v="108"/>
    <n v="3.3"/>
    <n v="2023"/>
    <x v="1"/>
    <x v="0"/>
    <x v="1"/>
  </r>
  <r>
    <s v="Call_7347"/>
    <x v="6"/>
    <n v="145"/>
    <x v="1"/>
    <x v="26"/>
    <n v="78"/>
    <n v="1.9"/>
    <n v="2023"/>
    <x v="1"/>
    <x v="1"/>
    <x v="3"/>
  </r>
  <r>
    <s v="Call_7348"/>
    <x v="1"/>
    <n v="43"/>
    <x v="4"/>
    <x v="26"/>
    <n v="23"/>
    <n v="4.9000000000000004"/>
    <n v="2023"/>
    <x v="1"/>
    <x v="2"/>
    <x v="0"/>
  </r>
  <r>
    <s v="Call_7349"/>
    <x v="4"/>
    <n v="62"/>
    <x v="0"/>
    <x v="27"/>
    <n v="99"/>
    <n v="3.6"/>
    <n v="2023"/>
    <x v="2"/>
    <x v="0"/>
    <x v="2"/>
  </r>
  <r>
    <s v="Call_7350"/>
    <x v="9"/>
    <n v="79"/>
    <x v="4"/>
    <x v="28"/>
    <n v="148"/>
    <n v="4.5"/>
    <n v="2023"/>
    <x v="3"/>
    <x v="0"/>
    <x v="0"/>
  </r>
  <r>
    <s v="Call_7351"/>
    <x v="6"/>
    <n v="45"/>
    <x v="3"/>
    <x v="28"/>
    <n v="34"/>
    <n v="3.7"/>
    <n v="2023"/>
    <x v="3"/>
    <x v="2"/>
    <x v="2"/>
  </r>
  <r>
    <s v="Call_7352"/>
    <x v="4"/>
    <n v="137"/>
    <x v="4"/>
    <x v="28"/>
    <n v="86"/>
    <n v="4.8"/>
    <n v="2023"/>
    <x v="3"/>
    <x v="1"/>
    <x v="0"/>
  </r>
  <r>
    <s v="Call_7353"/>
    <x v="14"/>
    <n v="109"/>
    <x v="0"/>
    <x v="28"/>
    <n v="105"/>
    <n v="3.3"/>
    <n v="2023"/>
    <x v="3"/>
    <x v="0"/>
    <x v="1"/>
  </r>
  <r>
    <s v="Call_7354"/>
    <x v="1"/>
    <n v="78"/>
    <x v="0"/>
    <x v="28"/>
    <n v="62"/>
    <n v="3.1"/>
    <n v="2023"/>
    <x v="3"/>
    <x v="0"/>
    <x v="1"/>
  </r>
  <r>
    <s v="Call_7355"/>
    <x v="4"/>
    <n v="137"/>
    <x v="3"/>
    <x v="28"/>
    <n v="90"/>
    <n v="4.0999999999999996"/>
    <n v="2023"/>
    <x v="3"/>
    <x v="1"/>
    <x v="2"/>
  </r>
  <r>
    <s v="Call_7356"/>
    <x v="3"/>
    <n v="99"/>
    <x v="0"/>
    <x v="29"/>
    <n v="112"/>
    <n v="4.9000000000000004"/>
    <n v="2023"/>
    <x v="4"/>
    <x v="0"/>
    <x v="0"/>
  </r>
  <r>
    <s v="Call_7357"/>
    <x v="11"/>
    <n v="100"/>
    <x v="0"/>
    <x v="29"/>
    <n v="135"/>
    <n v="4"/>
    <n v="2023"/>
    <x v="4"/>
    <x v="0"/>
    <x v="2"/>
  </r>
  <r>
    <s v="Call_7358"/>
    <x v="1"/>
    <n v="47"/>
    <x v="1"/>
    <x v="29"/>
    <n v="34"/>
    <n v="2.1"/>
    <n v="2023"/>
    <x v="4"/>
    <x v="2"/>
    <x v="3"/>
  </r>
  <r>
    <s v="Call_7359"/>
    <x v="14"/>
    <n v="87"/>
    <x v="2"/>
    <x v="29"/>
    <n v="155"/>
    <n v="4.5"/>
    <n v="2023"/>
    <x v="4"/>
    <x v="0"/>
    <x v="0"/>
  </r>
  <r>
    <s v="Call_7360"/>
    <x v="3"/>
    <n v="143"/>
    <x v="2"/>
    <x v="30"/>
    <n v="124"/>
    <n v="4.9000000000000004"/>
    <n v="2023"/>
    <x v="6"/>
    <x v="1"/>
    <x v="0"/>
  </r>
  <r>
    <s v="Call_7361"/>
    <x v="11"/>
    <n v="84"/>
    <x v="0"/>
    <x v="30"/>
    <n v="195"/>
    <n v="4.0999999999999996"/>
    <n v="2023"/>
    <x v="6"/>
    <x v="0"/>
    <x v="2"/>
  </r>
  <r>
    <s v="Call_7362"/>
    <x v="13"/>
    <n v="55"/>
    <x v="2"/>
    <x v="31"/>
    <n v="78"/>
    <n v="4.5"/>
    <n v="2023"/>
    <x v="0"/>
    <x v="2"/>
    <x v="0"/>
  </r>
  <r>
    <s v="Call_7363"/>
    <x v="5"/>
    <n v="135"/>
    <x v="3"/>
    <x v="32"/>
    <n v="35"/>
    <n v="4.8"/>
    <n v="2023"/>
    <x v="2"/>
    <x v="1"/>
    <x v="0"/>
  </r>
  <r>
    <s v="Call_7364"/>
    <x v="12"/>
    <n v="152"/>
    <x v="1"/>
    <x v="32"/>
    <n v="123"/>
    <n v="4.5999999999999996"/>
    <n v="2023"/>
    <x v="2"/>
    <x v="1"/>
    <x v="0"/>
  </r>
  <r>
    <s v="Call_7365"/>
    <x v="2"/>
    <n v="132"/>
    <x v="1"/>
    <x v="32"/>
    <n v="43"/>
    <n v="4.5999999999999996"/>
    <n v="2023"/>
    <x v="2"/>
    <x v="1"/>
    <x v="0"/>
  </r>
  <r>
    <s v="Call_7366"/>
    <x v="10"/>
    <n v="60"/>
    <x v="0"/>
    <x v="33"/>
    <n v="69"/>
    <n v="4.3"/>
    <n v="2023"/>
    <x v="3"/>
    <x v="0"/>
    <x v="2"/>
  </r>
  <r>
    <s v="Call_7367"/>
    <x v="12"/>
    <n v="95"/>
    <x v="1"/>
    <x v="33"/>
    <n v="130"/>
    <n v="5"/>
    <n v="2023"/>
    <x v="3"/>
    <x v="0"/>
    <x v="0"/>
  </r>
  <r>
    <s v="Call_7368"/>
    <x v="0"/>
    <n v="96"/>
    <x v="4"/>
    <x v="33"/>
    <n v="120"/>
    <n v="4"/>
    <n v="2023"/>
    <x v="3"/>
    <x v="0"/>
    <x v="2"/>
  </r>
  <r>
    <s v="Call_7369"/>
    <x v="13"/>
    <n v="45"/>
    <x v="0"/>
    <x v="34"/>
    <n v="84"/>
    <n v="4.5999999999999996"/>
    <n v="2023"/>
    <x v="4"/>
    <x v="2"/>
    <x v="0"/>
  </r>
  <r>
    <s v="Call_7370"/>
    <x v="0"/>
    <n v="132"/>
    <x v="4"/>
    <x v="35"/>
    <n v="112"/>
    <n v="4.5"/>
    <n v="2023"/>
    <x v="5"/>
    <x v="1"/>
    <x v="0"/>
  </r>
  <r>
    <s v="Call_7371"/>
    <x v="7"/>
    <n v="95"/>
    <x v="0"/>
    <x v="35"/>
    <n v="66"/>
    <n v="4.5999999999999996"/>
    <n v="2023"/>
    <x v="5"/>
    <x v="0"/>
    <x v="0"/>
  </r>
  <r>
    <s v="Call_7372"/>
    <x v="12"/>
    <n v="131"/>
    <x v="2"/>
    <x v="35"/>
    <n v="172"/>
    <n v="2.6"/>
    <n v="2023"/>
    <x v="5"/>
    <x v="1"/>
    <x v="1"/>
  </r>
  <r>
    <s v="Call_7373"/>
    <x v="9"/>
    <n v="67"/>
    <x v="3"/>
    <x v="36"/>
    <n v="24"/>
    <n v="4.3"/>
    <n v="2023"/>
    <x v="6"/>
    <x v="0"/>
    <x v="2"/>
  </r>
  <r>
    <s v="Call_7374"/>
    <x v="3"/>
    <n v="111"/>
    <x v="2"/>
    <x v="37"/>
    <n v="43"/>
    <n v="3.9"/>
    <n v="2023"/>
    <x v="0"/>
    <x v="0"/>
    <x v="2"/>
  </r>
  <r>
    <s v="Call_7375"/>
    <x v="2"/>
    <n v="78"/>
    <x v="1"/>
    <x v="37"/>
    <n v="23"/>
    <n v="5"/>
    <n v="2023"/>
    <x v="0"/>
    <x v="0"/>
    <x v="0"/>
  </r>
  <r>
    <s v="Call_7376"/>
    <x v="8"/>
    <n v="28"/>
    <x v="4"/>
    <x v="37"/>
    <n v="74"/>
    <n v="3.5"/>
    <n v="2023"/>
    <x v="0"/>
    <x v="3"/>
    <x v="2"/>
  </r>
  <r>
    <s v="Call_7377"/>
    <x v="1"/>
    <n v="127"/>
    <x v="3"/>
    <x v="38"/>
    <n v="165"/>
    <n v="4.7"/>
    <n v="2023"/>
    <x v="1"/>
    <x v="1"/>
    <x v="0"/>
  </r>
  <r>
    <s v="Call_7378"/>
    <x v="11"/>
    <n v="137"/>
    <x v="2"/>
    <x v="38"/>
    <n v="34"/>
    <n v="2.9"/>
    <n v="2023"/>
    <x v="1"/>
    <x v="1"/>
    <x v="1"/>
  </r>
  <r>
    <s v="Call_7379"/>
    <x v="1"/>
    <n v="76"/>
    <x v="4"/>
    <x v="38"/>
    <n v="64"/>
    <n v="3.4"/>
    <n v="2023"/>
    <x v="1"/>
    <x v="0"/>
    <x v="1"/>
  </r>
  <r>
    <s v="Call_7380"/>
    <x v="2"/>
    <n v="80"/>
    <x v="3"/>
    <x v="39"/>
    <n v="155"/>
    <n v="3.2"/>
    <n v="2023"/>
    <x v="2"/>
    <x v="0"/>
    <x v="1"/>
  </r>
  <r>
    <s v="Call_7381"/>
    <x v="1"/>
    <n v="95"/>
    <x v="1"/>
    <x v="40"/>
    <n v="120"/>
    <n v="4.8"/>
    <n v="2023"/>
    <x v="3"/>
    <x v="0"/>
    <x v="0"/>
  </r>
  <r>
    <s v="Call_7382"/>
    <x v="10"/>
    <n v="30"/>
    <x v="4"/>
    <x v="40"/>
    <n v="105"/>
    <n v="3.6"/>
    <n v="2023"/>
    <x v="3"/>
    <x v="2"/>
    <x v="2"/>
  </r>
  <r>
    <s v="Call_7383"/>
    <x v="4"/>
    <n v="19"/>
    <x v="2"/>
    <x v="40"/>
    <n v="28"/>
    <n v="4.9000000000000004"/>
    <n v="2023"/>
    <x v="3"/>
    <x v="3"/>
    <x v="0"/>
  </r>
  <r>
    <s v="Call_7384"/>
    <x v="6"/>
    <n v="38"/>
    <x v="3"/>
    <x v="40"/>
    <n v="100"/>
    <n v="4.8"/>
    <n v="2023"/>
    <x v="3"/>
    <x v="2"/>
    <x v="0"/>
  </r>
  <r>
    <s v="Call_7385"/>
    <x v="7"/>
    <n v="55"/>
    <x v="2"/>
    <x v="40"/>
    <n v="23"/>
    <n v="3.6"/>
    <n v="2023"/>
    <x v="3"/>
    <x v="2"/>
    <x v="2"/>
  </r>
  <r>
    <s v="Call_7386"/>
    <x v="9"/>
    <n v="27"/>
    <x v="4"/>
    <x v="41"/>
    <n v="70"/>
    <n v="3.9"/>
    <n v="2023"/>
    <x v="4"/>
    <x v="3"/>
    <x v="2"/>
  </r>
  <r>
    <s v="Call_7387"/>
    <x v="9"/>
    <n v="32"/>
    <x v="4"/>
    <x v="41"/>
    <n v="37"/>
    <n v="1.9"/>
    <n v="2023"/>
    <x v="4"/>
    <x v="2"/>
    <x v="3"/>
  </r>
  <r>
    <s v="Call_7388"/>
    <x v="8"/>
    <n v="116"/>
    <x v="0"/>
    <x v="41"/>
    <n v="140"/>
    <n v="3.6"/>
    <n v="2023"/>
    <x v="4"/>
    <x v="0"/>
    <x v="2"/>
  </r>
  <r>
    <s v="Call_7389"/>
    <x v="0"/>
    <n v="99"/>
    <x v="1"/>
    <x v="41"/>
    <n v="78"/>
    <n v="4.0999999999999996"/>
    <n v="2023"/>
    <x v="4"/>
    <x v="0"/>
    <x v="2"/>
  </r>
  <r>
    <s v="Call_7390"/>
    <x v="1"/>
    <n v="75"/>
    <x v="4"/>
    <x v="42"/>
    <n v="21"/>
    <n v="4.2"/>
    <n v="2023"/>
    <x v="5"/>
    <x v="0"/>
    <x v="2"/>
  </r>
  <r>
    <s v="Call_7391"/>
    <x v="2"/>
    <n v="57"/>
    <x v="0"/>
    <x v="42"/>
    <n v="88"/>
    <n v="4.3"/>
    <n v="2023"/>
    <x v="5"/>
    <x v="2"/>
    <x v="2"/>
  </r>
  <r>
    <s v="Call_7392"/>
    <x v="5"/>
    <n v="155"/>
    <x v="0"/>
    <x v="43"/>
    <n v="180"/>
    <n v="2.2000000000000002"/>
    <n v="2023"/>
    <x v="6"/>
    <x v="1"/>
    <x v="3"/>
  </r>
  <r>
    <s v="Call_7393"/>
    <x v="0"/>
    <n v="68"/>
    <x v="1"/>
    <x v="43"/>
    <n v="22"/>
    <n v="3.3"/>
    <n v="2023"/>
    <x v="6"/>
    <x v="0"/>
    <x v="1"/>
  </r>
  <r>
    <s v="Call_7394"/>
    <x v="6"/>
    <n v="95"/>
    <x v="1"/>
    <x v="43"/>
    <n v="52"/>
    <n v="4.8"/>
    <n v="2023"/>
    <x v="6"/>
    <x v="0"/>
    <x v="0"/>
  </r>
  <r>
    <s v="Call_7395"/>
    <x v="11"/>
    <n v="65"/>
    <x v="0"/>
    <x v="44"/>
    <n v="80"/>
    <n v="4"/>
    <n v="2023"/>
    <x v="0"/>
    <x v="0"/>
    <x v="2"/>
  </r>
  <r>
    <s v="Call_7396"/>
    <x v="4"/>
    <n v="114"/>
    <x v="2"/>
    <x v="44"/>
    <n v="54"/>
    <n v="1.1000000000000001"/>
    <n v="2023"/>
    <x v="0"/>
    <x v="0"/>
    <x v="5"/>
  </r>
  <r>
    <s v="Call_7397"/>
    <x v="1"/>
    <n v="155"/>
    <x v="2"/>
    <x v="45"/>
    <n v="80"/>
    <n v="3.9"/>
    <n v="2023"/>
    <x v="1"/>
    <x v="1"/>
    <x v="2"/>
  </r>
  <r>
    <s v="Call_7398"/>
    <x v="11"/>
    <n v="114"/>
    <x v="0"/>
    <x v="46"/>
    <n v="120"/>
    <n v="1.8"/>
    <n v="2023"/>
    <x v="2"/>
    <x v="0"/>
    <x v="3"/>
  </r>
  <r>
    <s v="Call_7399"/>
    <x v="5"/>
    <n v="130"/>
    <x v="3"/>
    <x v="46"/>
    <n v="150"/>
    <n v="1"/>
    <n v="2023"/>
    <x v="2"/>
    <x v="1"/>
    <x v="5"/>
  </r>
  <r>
    <s v="Call_7400"/>
    <x v="1"/>
    <n v="89"/>
    <x v="0"/>
    <x v="46"/>
    <n v="90"/>
    <n v="4.3"/>
    <n v="2023"/>
    <x v="2"/>
    <x v="0"/>
    <x v="2"/>
  </r>
  <r>
    <s v="Call_7401"/>
    <x v="13"/>
    <n v="61"/>
    <x v="4"/>
    <x v="47"/>
    <n v="140"/>
    <n v="3.4"/>
    <n v="2023"/>
    <x v="3"/>
    <x v="0"/>
    <x v="1"/>
  </r>
  <r>
    <s v="Call_7402"/>
    <x v="6"/>
    <n v="154"/>
    <x v="2"/>
    <x v="47"/>
    <n v="22"/>
    <n v="3.4"/>
    <n v="2023"/>
    <x v="3"/>
    <x v="1"/>
    <x v="1"/>
  </r>
  <r>
    <s v="Call_7403"/>
    <x v="11"/>
    <n v="115"/>
    <x v="3"/>
    <x v="48"/>
    <n v="150"/>
    <n v="4.0999999999999996"/>
    <n v="2023"/>
    <x v="4"/>
    <x v="0"/>
    <x v="2"/>
  </r>
  <r>
    <s v="Call_7404"/>
    <x v="14"/>
    <n v="138"/>
    <x v="1"/>
    <x v="49"/>
    <n v="35"/>
    <n v="4.8"/>
    <n v="2023"/>
    <x v="5"/>
    <x v="1"/>
    <x v="0"/>
  </r>
  <r>
    <s v="Call_7405"/>
    <x v="3"/>
    <n v="153"/>
    <x v="0"/>
    <x v="49"/>
    <n v="200"/>
    <n v="2"/>
    <n v="2023"/>
    <x v="5"/>
    <x v="1"/>
    <x v="3"/>
  </r>
  <r>
    <s v="Call_7406"/>
    <x v="11"/>
    <n v="61"/>
    <x v="4"/>
    <x v="50"/>
    <n v="150"/>
    <n v="4.5999999999999996"/>
    <n v="2023"/>
    <x v="6"/>
    <x v="0"/>
    <x v="0"/>
  </r>
  <r>
    <s v="Call_7407"/>
    <x v="9"/>
    <n v="62"/>
    <x v="0"/>
    <x v="50"/>
    <n v="21"/>
    <n v="2.6"/>
    <n v="2023"/>
    <x v="6"/>
    <x v="0"/>
    <x v="1"/>
  </r>
  <r>
    <s v="Call_7408"/>
    <x v="13"/>
    <n v="151"/>
    <x v="3"/>
    <x v="51"/>
    <n v="46"/>
    <n v="4.9000000000000004"/>
    <n v="2023"/>
    <x v="0"/>
    <x v="1"/>
    <x v="0"/>
  </r>
  <r>
    <s v="Call_7409"/>
    <x v="12"/>
    <n v="102"/>
    <x v="2"/>
    <x v="51"/>
    <n v="165"/>
    <n v="2.7"/>
    <n v="2023"/>
    <x v="0"/>
    <x v="0"/>
    <x v="1"/>
  </r>
  <r>
    <s v="Call_7410"/>
    <x v="10"/>
    <n v="64"/>
    <x v="0"/>
    <x v="51"/>
    <n v="84"/>
    <n v="4.0999999999999996"/>
    <n v="2023"/>
    <x v="0"/>
    <x v="0"/>
    <x v="2"/>
  </r>
  <r>
    <s v="Call_7411"/>
    <x v="1"/>
    <n v="6"/>
    <x v="2"/>
    <x v="52"/>
    <n v="102"/>
    <n v="4.4000000000000004"/>
    <n v="2023"/>
    <x v="1"/>
    <x v="4"/>
    <x v="2"/>
  </r>
  <r>
    <s v="Call_7412"/>
    <x v="10"/>
    <n v="129"/>
    <x v="0"/>
    <x v="52"/>
    <n v="180"/>
    <n v="4.8"/>
    <n v="2023"/>
    <x v="1"/>
    <x v="1"/>
    <x v="0"/>
  </r>
  <r>
    <s v="Call_7413"/>
    <x v="9"/>
    <n v="42"/>
    <x v="3"/>
    <x v="53"/>
    <n v="111"/>
    <n v="3"/>
    <n v="2023"/>
    <x v="2"/>
    <x v="2"/>
    <x v="1"/>
  </r>
  <r>
    <s v="Call_7414"/>
    <x v="9"/>
    <n v="71"/>
    <x v="4"/>
    <x v="53"/>
    <n v="104"/>
    <n v="3.1"/>
    <n v="2023"/>
    <x v="2"/>
    <x v="0"/>
    <x v="1"/>
  </r>
  <r>
    <s v="Call_7415"/>
    <x v="2"/>
    <n v="53"/>
    <x v="2"/>
    <x v="53"/>
    <n v="80"/>
    <n v="2.6"/>
    <n v="2023"/>
    <x v="2"/>
    <x v="2"/>
    <x v="1"/>
  </r>
  <r>
    <s v="Call_7416"/>
    <x v="4"/>
    <n v="155"/>
    <x v="4"/>
    <x v="54"/>
    <n v="132"/>
    <n v="4.5999999999999996"/>
    <n v="2023"/>
    <x v="3"/>
    <x v="1"/>
    <x v="0"/>
  </r>
  <r>
    <s v="Call_7417"/>
    <x v="4"/>
    <n v="90"/>
    <x v="3"/>
    <x v="54"/>
    <n v="170"/>
    <n v="3.7"/>
    <n v="2023"/>
    <x v="3"/>
    <x v="0"/>
    <x v="2"/>
  </r>
  <r>
    <s v="Call_7418"/>
    <x v="10"/>
    <n v="166"/>
    <x v="1"/>
    <x v="54"/>
    <n v="36"/>
    <n v="3.8"/>
    <n v="2023"/>
    <x v="3"/>
    <x v="1"/>
    <x v="2"/>
  </r>
  <r>
    <s v="Call_7419"/>
    <x v="8"/>
    <n v="89"/>
    <x v="4"/>
    <x v="54"/>
    <n v="126"/>
    <n v="3.6"/>
    <n v="2023"/>
    <x v="3"/>
    <x v="0"/>
    <x v="2"/>
  </r>
  <r>
    <s v="Call_7420"/>
    <x v="11"/>
    <n v="152"/>
    <x v="2"/>
    <x v="54"/>
    <n v="215"/>
    <n v="4.4000000000000004"/>
    <n v="2023"/>
    <x v="3"/>
    <x v="1"/>
    <x v="2"/>
  </r>
  <r>
    <s v="Call_7421"/>
    <x v="8"/>
    <n v="137"/>
    <x v="3"/>
    <x v="54"/>
    <n v="114"/>
    <n v="3.2"/>
    <n v="2023"/>
    <x v="3"/>
    <x v="1"/>
    <x v="1"/>
  </r>
  <r>
    <s v="Call_7422"/>
    <x v="8"/>
    <n v="43"/>
    <x v="3"/>
    <x v="54"/>
    <n v="99"/>
    <n v="4.7"/>
    <n v="2023"/>
    <x v="3"/>
    <x v="2"/>
    <x v="0"/>
  </r>
  <r>
    <s v="Call_7423"/>
    <x v="6"/>
    <n v="114"/>
    <x v="3"/>
    <x v="55"/>
    <n v="23"/>
    <n v="4.8"/>
    <n v="2023"/>
    <x v="4"/>
    <x v="0"/>
    <x v="0"/>
  </r>
  <r>
    <s v="Call_7424"/>
    <x v="3"/>
    <n v="103"/>
    <x v="4"/>
    <x v="55"/>
    <n v="75"/>
    <n v="2.7"/>
    <n v="2023"/>
    <x v="4"/>
    <x v="0"/>
    <x v="1"/>
  </r>
  <r>
    <s v="Call_7425"/>
    <x v="8"/>
    <n v="98"/>
    <x v="2"/>
    <x v="55"/>
    <n v="100"/>
    <n v="3.8"/>
    <n v="2023"/>
    <x v="4"/>
    <x v="0"/>
    <x v="2"/>
  </r>
  <r>
    <s v="Call_7426"/>
    <x v="10"/>
    <n v="106"/>
    <x v="1"/>
    <x v="55"/>
    <n v="108"/>
    <n v="4.3"/>
    <n v="2023"/>
    <x v="4"/>
    <x v="0"/>
    <x v="2"/>
  </r>
  <r>
    <s v="Call_7427"/>
    <x v="1"/>
    <n v="96"/>
    <x v="1"/>
    <x v="55"/>
    <n v="108"/>
    <n v="5"/>
    <n v="2023"/>
    <x v="4"/>
    <x v="0"/>
    <x v="0"/>
  </r>
  <r>
    <s v="Call_7428"/>
    <x v="3"/>
    <n v="70"/>
    <x v="1"/>
    <x v="55"/>
    <n v="28"/>
    <n v="4.8"/>
    <n v="2023"/>
    <x v="4"/>
    <x v="0"/>
    <x v="0"/>
  </r>
  <r>
    <s v="Call_7429"/>
    <x v="9"/>
    <n v="86"/>
    <x v="0"/>
    <x v="56"/>
    <n v="70"/>
    <n v="4.9000000000000004"/>
    <n v="2023"/>
    <x v="5"/>
    <x v="0"/>
    <x v="0"/>
  </r>
  <r>
    <s v="Call_7430"/>
    <x v="2"/>
    <n v="64"/>
    <x v="0"/>
    <x v="56"/>
    <n v="172"/>
    <n v="4.0999999999999996"/>
    <n v="2023"/>
    <x v="5"/>
    <x v="0"/>
    <x v="2"/>
  </r>
  <r>
    <s v="Call_7431"/>
    <x v="1"/>
    <n v="113"/>
    <x v="2"/>
    <x v="56"/>
    <n v="123"/>
    <n v="4.4000000000000004"/>
    <n v="2023"/>
    <x v="5"/>
    <x v="0"/>
    <x v="2"/>
  </r>
  <r>
    <s v="Call_7432"/>
    <x v="1"/>
    <n v="21"/>
    <x v="1"/>
    <x v="56"/>
    <n v="93"/>
    <n v="3.4"/>
    <n v="2023"/>
    <x v="5"/>
    <x v="3"/>
    <x v="1"/>
  </r>
  <r>
    <s v="Call_7433"/>
    <x v="12"/>
    <n v="107"/>
    <x v="0"/>
    <x v="56"/>
    <n v="66"/>
    <n v="4"/>
    <n v="2023"/>
    <x v="5"/>
    <x v="0"/>
    <x v="2"/>
  </r>
  <r>
    <s v="Call_7434"/>
    <x v="12"/>
    <n v="131"/>
    <x v="1"/>
    <x v="56"/>
    <n v="39"/>
    <n v="2.4"/>
    <n v="2023"/>
    <x v="5"/>
    <x v="1"/>
    <x v="3"/>
  </r>
  <r>
    <s v="Call_7435"/>
    <x v="0"/>
    <n v="11"/>
    <x v="4"/>
    <x v="56"/>
    <n v="25"/>
    <n v="2.1"/>
    <n v="2023"/>
    <x v="5"/>
    <x v="3"/>
    <x v="3"/>
  </r>
  <r>
    <s v="Call_7436"/>
    <x v="13"/>
    <n v="86"/>
    <x v="2"/>
    <x v="56"/>
    <n v="68"/>
    <n v="3"/>
    <n v="2023"/>
    <x v="5"/>
    <x v="0"/>
    <x v="1"/>
  </r>
  <r>
    <s v="Call_7437"/>
    <x v="2"/>
    <n v="28"/>
    <x v="4"/>
    <x v="56"/>
    <n v="84"/>
    <n v="3.2"/>
    <n v="2023"/>
    <x v="5"/>
    <x v="3"/>
    <x v="1"/>
  </r>
  <r>
    <s v="Call_7438"/>
    <x v="4"/>
    <n v="139"/>
    <x v="1"/>
    <x v="57"/>
    <n v="88"/>
    <n v="3.4"/>
    <n v="2023"/>
    <x v="6"/>
    <x v="1"/>
    <x v="1"/>
  </r>
  <r>
    <s v="Call_7439"/>
    <x v="10"/>
    <n v="82"/>
    <x v="2"/>
    <x v="57"/>
    <n v="93"/>
    <n v="2.7"/>
    <n v="2023"/>
    <x v="6"/>
    <x v="0"/>
    <x v="1"/>
  </r>
  <r>
    <s v="Call_7440"/>
    <x v="1"/>
    <n v="101"/>
    <x v="4"/>
    <x v="57"/>
    <n v="128"/>
    <n v="5"/>
    <n v="2023"/>
    <x v="6"/>
    <x v="0"/>
    <x v="0"/>
  </r>
  <r>
    <s v="Call_7441"/>
    <x v="2"/>
    <n v="75"/>
    <x v="3"/>
    <x v="57"/>
    <n v="40"/>
    <n v="3.4"/>
    <n v="2023"/>
    <x v="6"/>
    <x v="0"/>
    <x v="1"/>
  </r>
  <r>
    <s v="Call_7442"/>
    <x v="6"/>
    <n v="40"/>
    <x v="4"/>
    <x v="58"/>
    <n v="92"/>
    <n v="4.7"/>
    <n v="2023"/>
    <x v="0"/>
    <x v="2"/>
    <x v="0"/>
  </r>
  <r>
    <s v="Call_7443"/>
    <x v="8"/>
    <n v="86"/>
    <x v="1"/>
    <x v="58"/>
    <n v="27"/>
    <n v="4.5"/>
    <n v="2023"/>
    <x v="0"/>
    <x v="0"/>
    <x v="0"/>
  </r>
  <r>
    <s v="Call_7444"/>
    <x v="5"/>
    <n v="131"/>
    <x v="0"/>
    <x v="58"/>
    <n v="140"/>
    <n v="4.0999999999999996"/>
    <n v="2023"/>
    <x v="0"/>
    <x v="1"/>
    <x v="2"/>
  </r>
  <r>
    <s v="Call_7445"/>
    <x v="12"/>
    <n v="67"/>
    <x v="2"/>
    <x v="58"/>
    <n v="40"/>
    <n v="5"/>
    <n v="2023"/>
    <x v="0"/>
    <x v="0"/>
    <x v="0"/>
  </r>
  <r>
    <s v="Call_7446"/>
    <x v="14"/>
    <n v="71"/>
    <x v="4"/>
    <x v="58"/>
    <n v="102"/>
    <n v="4.7"/>
    <n v="2023"/>
    <x v="0"/>
    <x v="0"/>
    <x v="0"/>
  </r>
  <r>
    <s v="Call_7447"/>
    <x v="5"/>
    <n v="113"/>
    <x v="0"/>
    <x v="58"/>
    <n v="42"/>
    <n v="4.2"/>
    <n v="2023"/>
    <x v="0"/>
    <x v="0"/>
    <x v="2"/>
  </r>
  <r>
    <s v="Call_7448"/>
    <x v="10"/>
    <n v="53"/>
    <x v="1"/>
    <x v="59"/>
    <n v="210"/>
    <n v="3.9"/>
    <n v="2023"/>
    <x v="1"/>
    <x v="2"/>
    <x v="2"/>
  </r>
  <r>
    <s v="Call_7449"/>
    <x v="5"/>
    <n v="153"/>
    <x v="2"/>
    <x v="59"/>
    <n v="34"/>
    <n v="3"/>
    <n v="2023"/>
    <x v="1"/>
    <x v="1"/>
    <x v="1"/>
  </r>
  <r>
    <s v="Call_7450"/>
    <x v="12"/>
    <n v="73"/>
    <x v="3"/>
    <x v="59"/>
    <n v="215"/>
    <n v="3.6"/>
    <n v="2023"/>
    <x v="1"/>
    <x v="0"/>
    <x v="2"/>
  </r>
  <r>
    <s v="Call_7451"/>
    <x v="9"/>
    <n v="62"/>
    <x v="3"/>
    <x v="59"/>
    <n v="32"/>
    <n v="0.7"/>
    <n v="2023"/>
    <x v="1"/>
    <x v="0"/>
    <x v="5"/>
  </r>
  <r>
    <s v="Call_7452"/>
    <x v="4"/>
    <n v="115"/>
    <x v="1"/>
    <x v="60"/>
    <n v="48"/>
    <n v="4.7"/>
    <n v="2023"/>
    <x v="2"/>
    <x v="0"/>
    <x v="0"/>
  </r>
  <r>
    <s v="Call_7453"/>
    <x v="5"/>
    <n v="69"/>
    <x v="1"/>
    <x v="60"/>
    <n v="132"/>
    <n v="4.5"/>
    <n v="2023"/>
    <x v="2"/>
    <x v="0"/>
    <x v="0"/>
  </r>
  <r>
    <s v="Call_7454"/>
    <x v="8"/>
    <n v="103"/>
    <x v="0"/>
    <x v="60"/>
    <n v="172"/>
    <n v="4.3"/>
    <n v="2023"/>
    <x v="2"/>
    <x v="0"/>
    <x v="2"/>
  </r>
  <r>
    <s v="Call_7455"/>
    <x v="8"/>
    <n v="75"/>
    <x v="0"/>
    <x v="60"/>
    <n v="111"/>
    <n v="3.4"/>
    <n v="2023"/>
    <x v="2"/>
    <x v="0"/>
    <x v="1"/>
  </r>
  <r>
    <s v="Call_7456"/>
    <x v="7"/>
    <n v="92"/>
    <x v="0"/>
    <x v="60"/>
    <n v="58"/>
    <n v="3.6"/>
    <n v="2023"/>
    <x v="2"/>
    <x v="0"/>
    <x v="2"/>
  </r>
  <r>
    <s v="Call_7457"/>
    <x v="7"/>
    <n v="41"/>
    <x v="3"/>
    <x v="60"/>
    <n v="68"/>
    <n v="4"/>
    <n v="2023"/>
    <x v="2"/>
    <x v="2"/>
    <x v="2"/>
  </r>
  <r>
    <s v="Call_7458"/>
    <x v="8"/>
    <n v="134"/>
    <x v="2"/>
    <x v="60"/>
    <n v="160"/>
    <n v="4.5"/>
    <n v="2023"/>
    <x v="2"/>
    <x v="1"/>
    <x v="0"/>
  </r>
  <r>
    <s v="Call_7459"/>
    <x v="13"/>
    <n v="80"/>
    <x v="4"/>
    <x v="60"/>
    <n v="45"/>
    <n v="3"/>
    <n v="2023"/>
    <x v="2"/>
    <x v="0"/>
    <x v="1"/>
  </r>
  <r>
    <s v="Call_7460"/>
    <x v="14"/>
    <n v="103"/>
    <x v="1"/>
    <x v="61"/>
    <n v="117"/>
    <n v="3"/>
    <n v="2023"/>
    <x v="3"/>
    <x v="0"/>
    <x v="1"/>
  </r>
  <r>
    <s v="Call_7461"/>
    <x v="10"/>
    <n v="20"/>
    <x v="0"/>
    <x v="62"/>
    <n v="22"/>
    <n v="1.6"/>
    <n v="2023"/>
    <x v="4"/>
    <x v="3"/>
    <x v="3"/>
  </r>
  <r>
    <s v="Call_7462"/>
    <x v="14"/>
    <n v="75"/>
    <x v="4"/>
    <x v="62"/>
    <n v="195"/>
    <n v="3"/>
    <n v="2023"/>
    <x v="4"/>
    <x v="0"/>
    <x v="1"/>
  </r>
  <r>
    <s v="Call_7463"/>
    <x v="7"/>
    <n v="80"/>
    <x v="2"/>
    <x v="62"/>
    <n v="168"/>
    <n v="3.7"/>
    <n v="2023"/>
    <x v="4"/>
    <x v="0"/>
    <x v="2"/>
  </r>
  <r>
    <s v="Call_7464"/>
    <x v="5"/>
    <n v="85"/>
    <x v="3"/>
    <x v="63"/>
    <n v="46"/>
    <n v="4.9000000000000004"/>
    <n v="2023"/>
    <x v="5"/>
    <x v="0"/>
    <x v="0"/>
  </r>
  <r>
    <s v="Call_7465"/>
    <x v="1"/>
    <n v="155"/>
    <x v="0"/>
    <x v="63"/>
    <n v="164"/>
    <n v="3.4"/>
    <n v="2023"/>
    <x v="5"/>
    <x v="1"/>
    <x v="1"/>
  </r>
  <r>
    <s v="Call_7466"/>
    <x v="5"/>
    <n v="63"/>
    <x v="3"/>
    <x v="63"/>
    <n v="48"/>
    <n v="5"/>
    <n v="2023"/>
    <x v="5"/>
    <x v="0"/>
    <x v="0"/>
  </r>
  <r>
    <s v="Call_7467"/>
    <x v="2"/>
    <n v="105"/>
    <x v="1"/>
    <x v="63"/>
    <n v="96"/>
    <n v="5"/>
    <n v="2023"/>
    <x v="5"/>
    <x v="0"/>
    <x v="0"/>
  </r>
  <r>
    <s v="Call_7468"/>
    <x v="5"/>
    <n v="71"/>
    <x v="3"/>
    <x v="63"/>
    <n v="105"/>
    <n v="4"/>
    <n v="2023"/>
    <x v="5"/>
    <x v="0"/>
    <x v="2"/>
  </r>
  <r>
    <s v="Call_7469"/>
    <x v="1"/>
    <n v="100"/>
    <x v="3"/>
    <x v="64"/>
    <n v="44"/>
    <n v="3.6"/>
    <n v="2023"/>
    <x v="6"/>
    <x v="0"/>
    <x v="2"/>
  </r>
  <r>
    <s v="Call_7470"/>
    <x v="0"/>
    <n v="93"/>
    <x v="2"/>
    <x v="64"/>
    <n v="132"/>
    <n v="3.7"/>
    <n v="2023"/>
    <x v="6"/>
    <x v="0"/>
    <x v="2"/>
  </r>
  <r>
    <s v="Call_7471"/>
    <x v="2"/>
    <n v="84"/>
    <x v="0"/>
    <x v="64"/>
    <n v="54"/>
    <n v="4.2"/>
    <n v="2023"/>
    <x v="6"/>
    <x v="0"/>
    <x v="2"/>
  </r>
  <r>
    <s v="Call_7472"/>
    <x v="13"/>
    <n v="56"/>
    <x v="4"/>
    <x v="64"/>
    <n v="129"/>
    <n v="2.1"/>
    <n v="2023"/>
    <x v="6"/>
    <x v="2"/>
    <x v="3"/>
  </r>
  <r>
    <s v="Call_7473"/>
    <x v="13"/>
    <n v="63"/>
    <x v="3"/>
    <x v="64"/>
    <n v="42"/>
    <n v="4"/>
    <n v="2023"/>
    <x v="6"/>
    <x v="0"/>
    <x v="2"/>
  </r>
  <r>
    <s v="Call_7474"/>
    <x v="9"/>
    <n v="83"/>
    <x v="3"/>
    <x v="64"/>
    <n v="42"/>
    <n v="4.2"/>
    <n v="2023"/>
    <x v="6"/>
    <x v="0"/>
    <x v="2"/>
  </r>
  <r>
    <s v="Call_7475"/>
    <x v="7"/>
    <n v="134"/>
    <x v="0"/>
    <x v="64"/>
    <n v="180"/>
    <n v="3.1"/>
    <n v="2023"/>
    <x v="6"/>
    <x v="1"/>
    <x v="1"/>
  </r>
  <r>
    <s v="Call_7476"/>
    <x v="4"/>
    <n v="73"/>
    <x v="3"/>
    <x v="65"/>
    <n v="34"/>
    <n v="4.8"/>
    <n v="2023"/>
    <x v="0"/>
    <x v="0"/>
    <x v="0"/>
  </r>
  <r>
    <s v="Call_7477"/>
    <x v="14"/>
    <n v="6"/>
    <x v="4"/>
    <x v="65"/>
    <n v="29"/>
    <n v="4.7"/>
    <n v="2023"/>
    <x v="0"/>
    <x v="4"/>
    <x v="0"/>
  </r>
  <r>
    <s v="Call_7478"/>
    <x v="12"/>
    <n v="46"/>
    <x v="1"/>
    <x v="65"/>
    <n v="165"/>
    <n v="3.3"/>
    <n v="2023"/>
    <x v="0"/>
    <x v="2"/>
    <x v="1"/>
  </r>
  <r>
    <s v="Call_7479"/>
    <x v="14"/>
    <n v="121"/>
    <x v="3"/>
    <x v="66"/>
    <n v="32"/>
    <n v="3.7"/>
    <n v="2023"/>
    <x v="1"/>
    <x v="1"/>
    <x v="2"/>
  </r>
  <r>
    <s v="Call_7480"/>
    <x v="13"/>
    <n v="61"/>
    <x v="2"/>
    <x v="66"/>
    <n v="160"/>
    <n v="4.9000000000000004"/>
    <n v="2023"/>
    <x v="1"/>
    <x v="0"/>
    <x v="0"/>
  </r>
  <r>
    <s v="Call_7481"/>
    <x v="7"/>
    <n v="144"/>
    <x v="0"/>
    <x v="66"/>
    <n v="140"/>
    <n v="3.5"/>
    <n v="2023"/>
    <x v="1"/>
    <x v="1"/>
    <x v="2"/>
  </r>
  <r>
    <s v="Call_7482"/>
    <x v="12"/>
    <n v="145"/>
    <x v="0"/>
    <x v="66"/>
    <n v="136"/>
    <n v="4.4000000000000004"/>
    <n v="2023"/>
    <x v="1"/>
    <x v="1"/>
    <x v="2"/>
  </r>
  <r>
    <s v="Call_7483"/>
    <x v="2"/>
    <n v="85"/>
    <x v="4"/>
    <x v="66"/>
    <n v="66"/>
    <n v="2.8"/>
    <n v="2023"/>
    <x v="1"/>
    <x v="0"/>
    <x v="1"/>
  </r>
  <r>
    <s v="Call_7484"/>
    <x v="12"/>
    <n v="13"/>
    <x v="2"/>
    <x v="67"/>
    <n v="63"/>
    <n v="4.0999999999999996"/>
    <n v="2023"/>
    <x v="2"/>
    <x v="3"/>
    <x v="2"/>
  </r>
  <r>
    <s v="Call_7485"/>
    <x v="0"/>
    <n v="142"/>
    <x v="3"/>
    <x v="67"/>
    <n v="44"/>
    <n v="3.5"/>
    <n v="2023"/>
    <x v="2"/>
    <x v="1"/>
    <x v="2"/>
  </r>
  <r>
    <s v="Call_7486"/>
    <x v="7"/>
    <n v="28"/>
    <x v="1"/>
    <x v="67"/>
    <n v="78"/>
    <n v="3.8"/>
    <n v="2023"/>
    <x v="2"/>
    <x v="3"/>
    <x v="2"/>
  </r>
  <r>
    <s v="Call_7487"/>
    <x v="7"/>
    <n v="119"/>
    <x v="3"/>
    <x v="67"/>
    <n v="20"/>
    <n v="3.9"/>
    <n v="2023"/>
    <x v="2"/>
    <x v="0"/>
    <x v="2"/>
  </r>
  <r>
    <s v="Call_7488"/>
    <x v="14"/>
    <n v="65"/>
    <x v="4"/>
    <x v="67"/>
    <n v="84"/>
    <n v="2.5"/>
    <n v="2023"/>
    <x v="2"/>
    <x v="0"/>
    <x v="1"/>
  </r>
  <r>
    <s v="Call_7489"/>
    <x v="8"/>
    <n v="68"/>
    <x v="4"/>
    <x v="67"/>
    <n v="32"/>
    <n v="4.9000000000000004"/>
    <n v="2023"/>
    <x v="2"/>
    <x v="0"/>
    <x v="0"/>
  </r>
  <r>
    <s v="Call_7490"/>
    <x v="9"/>
    <n v="72"/>
    <x v="1"/>
    <x v="67"/>
    <n v="132"/>
    <n v="3.4"/>
    <n v="2023"/>
    <x v="2"/>
    <x v="0"/>
    <x v="1"/>
  </r>
  <r>
    <s v="Call_7491"/>
    <x v="9"/>
    <n v="63"/>
    <x v="0"/>
    <x v="67"/>
    <n v="105"/>
    <n v="3.3"/>
    <n v="2023"/>
    <x v="2"/>
    <x v="0"/>
    <x v="1"/>
  </r>
  <r>
    <s v="Call_7492"/>
    <x v="1"/>
    <n v="139"/>
    <x v="3"/>
    <x v="68"/>
    <n v="48"/>
    <n v="4.7"/>
    <n v="2023"/>
    <x v="3"/>
    <x v="1"/>
    <x v="0"/>
  </r>
  <r>
    <s v="Call_7493"/>
    <x v="7"/>
    <n v="59"/>
    <x v="3"/>
    <x v="68"/>
    <n v="64"/>
    <n v="4"/>
    <n v="2023"/>
    <x v="3"/>
    <x v="2"/>
    <x v="2"/>
  </r>
  <r>
    <s v="Call_7494"/>
    <x v="10"/>
    <n v="138"/>
    <x v="0"/>
    <x v="68"/>
    <n v="44"/>
    <n v="3.8"/>
    <n v="2023"/>
    <x v="3"/>
    <x v="1"/>
    <x v="2"/>
  </r>
  <r>
    <s v="Call_7495"/>
    <x v="1"/>
    <n v="47"/>
    <x v="1"/>
    <x v="68"/>
    <n v="120"/>
    <n v="3.1"/>
    <n v="2023"/>
    <x v="3"/>
    <x v="2"/>
    <x v="1"/>
  </r>
  <r>
    <s v="Call_7496"/>
    <x v="10"/>
    <n v="74"/>
    <x v="1"/>
    <x v="68"/>
    <n v="144"/>
    <n v="4.8"/>
    <n v="2023"/>
    <x v="3"/>
    <x v="0"/>
    <x v="0"/>
  </r>
  <r>
    <s v="Call_7497"/>
    <x v="9"/>
    <n v="65"/>
    <x v="1"/>
    <x v="68"/>
    <n v="87"/>
    <n v="2.7"/>
    <n v="2023"/>
    <x v="3"/>
    <x v="0"/>
    <x v="1"/>
  </r>
  <r>
    <s v="Call_7498"/>
    <x v="4"/>
    <n v="123"/>
    <x v="4"/>
    <x v="68"/>
    <n v="36"/>
    <n v="3.6"/>
    <n v="2023"/>
    <x v="3"/>
    <x v="1"/>
    <x v="2"/>
  </r>
  <r>
    <s v="Call_7499"/>
    <x v="9"/>
    <n v="90"/>
    <x v="3"/>
    <x v="69"/>
    <n v="72"/>
    <n v="4.7"/>
    <n v="2023"/>
    <x v="4"/>
    <x v="0"/>
    <x v="0"/>
  </r>
  <r>
    <s v="Call_7500"/>
    <x v="13"/>
    <n v="127"/>
    <x v="0"/>
    <x v="69"/>
    <n v="150"/>
    <n v="4.4000000000000004"/>
    <n v="2023"/>
    <x v="4"/>
    <x v="1"/>
    <x v="2"/>
  </r>
  <r>
    <s v="Call_7501"/>
    <x v="3"/>
    <n v="60"/>
    <x v="1"/>
    <x v="69"/>
    <n v="68"/>
    <n v="4.3"/>
    <n v="2023"/>
    <x v="4"/>
    <x v="0"/>
    <x v="2"/>
  </r>
  <r>
    <s v="Call_7502"/>
    <x v="1"/>
    <n v="94"/>
    <x v="0"/>
    <x v="69"/>
    <n v="99"/>
    <n v="4.9000000000000004"/>
    <n v="2023"/>
    <x v="4"/>
    <x v="0"/>
    <x v="0"/>
  </r>
  <r>
    <s v="Call_7503"/>
    <x v="4"/>
    <n v="54"/>
    <x v="1"/>
    <x v="69"/>
    <n v="26"/>
    <n v="4.8"/>
    <n v="2023"/>
    <x v="4"/>
    <x v="2"/>
    <x v="0"/>
  </r>
  <r>
    <s v="Call_7504"/>
    <x v="9"/>
    <n v="104"/>
    <x v="1"/>
    <x v="69"/>
    <n v="88"/>
    <n v="3.2"/>
    <n v="2023"/>
    <x v="4"/>
    <x v="0"/>
    <x v="1"/>
  </r>
  <r>
    <s v="Call_7505"/>
    <x v="5"/>
    <n v="100"/>
    <x v="1"/>
    <x v="69"/>
    <n v="124"/>
    <n v="3.4"/>
    <n v="2023"/>
    <x v="4"/>
    <x v="0"/>
    <x v="1"/>
  </r>
  <r>
    <s v="Call_7506"/>
    <x v="10"/>
    <n v="84"/>
    <x v="1"/>
    <x v="69"/>
    <n v="72"/>
    <n v="3.5"/>
    <n v="2023"/>
    <x v="4"/>
    <x v="0"/>
    <x v="2"/>
  </r>
  <r>
    <s v="Call_7507"/>
    <x v="0"/>
    <n v="92"/>
    <x v="2"/>
    <x v="70"/>
    <n v="125"/>
    <n v="4.9000000000000004"/>
    <n v="2023"/>
    <x v="5"/>
    <x v="0"/>
    <x v="0"/>
  </r>
  <r>
    <s v="Call_7508"/>
    <x v="6"/>
    <n v="64"/>
    <x v="0"/>
    <x v="70"/>
    <n v="22"/>
    <n v="4.0999999999999996"/>
    <n v="2023"/>
    <x v="5"/>
    <x v="0"/>
    <x v="2"/>
  </r>
  <r>
    <s v="Call_7509"/>
    <x v="2"/>
    <n v="89"/>
    <x v="3"/>
    <x v="71"/>
    <n v="70"/>
    <n v="4.9000000000000004"/>
    <n v="2023"/>
    <x v="6"/>
    <x v="0"/>
    <x v="0"/>
  </r>
  <r>
    <s v="Call_7510"/>
    <x v="11"/>
    <n v="40"/>
    <x v="1"/>
    <x v="71"/>
    <n v="24"/>
    <n v="4.3"/>
    <n v="2023"/>
    <x v="6"/>
    <x v="2"/>
    <x v="2"/>
  </r>
  <r>
    <s v="Call_7511"/>
    <x v="7"/>
    <n v="75"/>
    <x v="4"/>
    <x v="71"/>
    <n v="32"/>
    <n v="4.0999999999999996"/>
    <n v="2023"/>
    <x v="6"/>
    <x v="0"/>
    <x v="2"/>
  </r>
  <r>
    <s v="Call_7512"/>
    <x v="13"/>
    <n v="106"/>
    <x v="2"/>
    <x v="71"/>
    <n v="112"/>
    <n v="4.4000000000000004"/>
    <n v="2023"/>
    <x v="6"/>
    <x v="0"/>
    <x v="2"/>
  </r>
  <r>
    <s v="Call_7513"/>
    <x v="6"/>
    <n v="58"/>
    <x v="1"/>
    <x v="72"/>
    <n v="43"/>
    <n v="4.5"/>
    <n v="2023"/>
    <x v="0"/>
    <x v="2"/>
    <x v="0"/>
  </r>
  <r>
    <s v="Call_7514"/>
    <x v="10"/>
    <n v="84"/>
    <x v="2"/>
    <x v="72"/>
    <n v="22"/>
    <n v="3.5"/>
    <n v="2023"/>
    <x v="0"/>
    <x v="0"/>
    <x v="2"/>
  </r>
  <r>
    <s v="Call_7515"/>
    <x v="9"/>
    <n v="140"/>
    <x v="2"/>
    <x v="72"/>
    <n v="93"/>
    <n v="4.4000000000000004"/>
    <n v="2023"/>
    <x v="0"/>
    <x v="1"/>
    <x v="2"/>
  </r>
  <r>
    <s v="Call_7516"/>
    <x v="6"/>
    <n v="67"/>
    <x v="2"/>
    <x v="72"/>
    <n v="45"/>
    <n v="3.5"/>
    <n v="2023"/>
    <x v="0"/>
    <x v="0"/>
    <x v="2"/>
  </r>
  <r>
    <s v="Call_7517"/>
    <x v="1"/>
    <n v="126"/>
    <x v="2"/>
    <x v="73"/>
    <n v="96"/>
    <n v="3.8"/>
    <n v="2023"/>
    <x v="1"/>
    <x v="1"/>
    <x v="2"/>
  </r>
  <r>
    <s v="Call_7518"/>
    <x v="1"/>
    <n v="89"/>
    <x v="1"/>
    <x v="73"/>
    <n v="96"/>
    <n v="3.3"/>
    <n v="2023"/>
    <x v="1"/>
    <x v="0"/>
    <x v="1"/>
  </r>
  <r>
    <s v="Call_7519"/>
    <x v="2"/>
    <n v="56"/>
    <x v="0"/>
    <x v="73"/>
    <n v="31"/>
    <n v="4.4000000000000004"/>
    <n v="2023"/>
    <x v="1"/>
    <x v="2"/>
    <x v="2"/>
  </r>
  <r>
    <s v="Call_7520"/>
    <x v="4"/>
    <n v="48"/>
    <x v="1"/>
    <x v="73"/>
    <n v="200"/>
    <n v="3.9"/>
    <n v="2023"/>
    <x v="1"/>
    <x v="2"/>
    <x v="2"/>
  </r>
  <r>
    <s v="Call_7521"/>
    <x v="1"/>
    <n v="55"/>
    <x v="0"/>
    <x v="73"/>
    <n v="99"/>
    <n v="2.7"/>
    <n v="2023"/>
    <x v="1"/>
    <x v="2"/>
    <x v="1"/>
  </r>
  <r>
    <s v="Call_7522"/>
    <x v="3"/>
    <n v="88"/>
    <x v="4"/>
    <x v="73"/>
    <n v="144"/>
    <n v="2.9"/>
    <n v="2023"/>
    <x v="1"/>
    <x v="0"/>
    <x v="1"/>
  </r>
  <r>
    <s v="Call_7523"/>
    <x v="2"/>
    <n v="102"/>
    <x v="2"/>
    <x v="74"/>
    <n v="81"/>
    <n v="4"/>
    <n v="2023"/>
    <x v="2"/>
    <x v="0"/>
    <x v="2"/>
  </r>
  <r>
    <s v="Call_7524"/>
    <x v="3"/>
    <n v="155"/>
    <x v="4"/>
    <x v="74"/>
    <n v="70"/>
    <n v="4.4000000000000004"/>
    <n v="2023"/>
    <x v="2"/>
    <x v="1"/>
    <x v="2"/>
  </r>
  <r>
    <s v="Call_7525"/>
    <x v="1"/>
    <n v="63"/>
    <x v="4"/>
    <x v="74"/>
    <n v="148"/>
    <n v="5"/>
    <n v="2023"/>
    <x v="2"/>
    <x v="0"/>
    <x v="0"/>
  </r>
  <r>
    <s v="Call_7526"/>
    <x v="5"/>
    <n v="59"/>
    <x v="2"/>
    <x v="74"/>
    <n v="215"/>
    <n v="4.0999999999999996"/>
    <n v="2023"/>
    <x v="2"/>
    <x v="2"/>
    <x v="2"/>
  </r>
  <r>
    <s v="Call_7527"/>
    <x v="5"/>
    <n v="144"/>
    <x v="1"/>
    <x v="74"/>
    <n v="124"/>
    <n v="4.4000000000000004"/>
    <n v="2023"/>
    <x v="2"/>
    <x v="1"/>
    <x v="2"/>
  </r>
  <r>
    <s v="Call_7528"/>
    <x v="10"/>
    <n v="113"/>
    <x v="3"/>
    <x v="74"/>
    <n v="168"/>
    <n v="4.0999999999999996"/>
    <n v="2023"/>
    <x v="2"/>
    <x v="0"/>
    <x v="2"/>
  </r>
  <r>
    <s v="Call_7529"/>
    <x v="12"/>
    <n v="154"/>
    <x v="0"/>
    <x v="74"/>
    <n v="90"/>
    <n v="4.5"/>
    <n v="2023"/>
    <x v="2"/>
    <x v="1"/>
    <x v="0"/>
  </r>
  <r>
    <s v="Call_7530"/>
    <x v="12"/>
    <n v="58"/>
    <x v="2"/>
    <x v="75"/>
    <n v="176"/>
    <n v="4.2"/>
    <n v="2023"/>
    <x v="3"/>
    <x v="2"/>
    <x v="2"/>
  </r>
  <r>
    <s v="Call_7531"/>
    <x v="4"/>
    <n v="63"/>
    <x v="4"/>
    <x v="75"/>
    <n v="87"/>
    <n v="4.5999999999999996"/>
    <n v="2023"/>
    <x v="3"/>
    <x v="0"/>
    <x v="0"/>
  </r>
  <r>
    <s v="Call_7532"/>
    <x v="9"/>
    <n v="59"/>
    <x v="1"/>
    <x v="75"/>
    <n v="128"/>
    <n v="4.5"/>
    <n v="2023"/>
    <x v="3"/>
    <x v="2"/>
    <x v="0"/>
  </r>
  <r>
    <s v="Call_7533"/>
    <x v="14"/>
    <n v="129"/>
    <x v="4"/>
    <x v="75"/>
    <n v="120"/>
    <n v="4.0999999999999996"/>
    <n v="2023"/>
    <x v="3"/>
    <x v="1"/>
    <x v="2"/>
  </r>
  <r>
    <s v="Call_7534"/>
    <x v="8"/>
    <n v="101"/>
    <x v="3"/>
    <x v="75"/>
    <n v="130"/>
    <n v="4.8"/>
    <n v="2023"/>
    <x v="3"/>
    <x v="0"/>
    <x v="0"/>
  </r>
  <r>
    <s v="Call_7535"/>
    <x v="11"/>
    <n v="154"/>
    <x v="1"/>
    <x v="75"/>
    <n v="172"/>
    <n v="3.1"/>
    <n v="2023"/>
    <x v="3"/>
    <x v="1"/>
    <x v="1"/>
  </r>
  <r>
    <s v="Call_7536"/>
    <x v="6"/>
    <n v="131"/>
    <x v="1"/>
    <x v="75"/>
    <n v="58"/>
    <n v="4.9000000000000004"/>
    <n v="2023"/>
    <x v="3"/>
    <x v="1"/>
    <x v="0"/>
  </r>
  <r>
    <s v="Call_7537"/>
    <x v="5"/>
    <n v="111"/>
    <x v="3"/>
    <x v="76"/>
    <n v="86"/>
    <n v="4.0999999999999996"/>
    <n v="2023"/>
    <x v="4"/>
    <x v="0"/>
    <x v="2"/>
  </r>
  <r>
    <s v="Call_7538"/>
    <x v="12"/>
    <n v="142"/>
    <x v="3"/>
    <x v="77"/>
    <n v="31"/>
    <n v="4.4000000000000004"/>
    <n v="2023"/>
    <x v="5"/>
    <x v="1"/>
    <x v="2"/>
  </r>
  <r>
    <s v="Call_7539"/>
    <x v="2"/>
    <n v="93"/>
    <x v="4"/>
    <x v="77"/>
    <n v="72"/>
    <n v="4.4000000000000004"/>
    <n v="2023"/>
    <x v="5"/>
    <x v="0"/>
    <x v="2"/>
  </r>
  <r>
    <s v="Call_7540"/>
    <x v="12"/>
    <n v="125"/>
    <x v="0"/>
    <x v="78"/>
    <n v="27"/>
    <n v="3"/>
    <n v="2023"/>
    <x v="6"/>
    <x v="1"/>
    <x v="1"/>
  </r>
  <r>
    <s v="Call_7541"/>
    <x v="14"/>
    <n v="76"/>
    <x v="1"/>
    <x v="78"/>
    <n v="110"/>
    <n v="4.4000000000000004"/>
    <n v="2023"/>
    <x v="6"/>
    <x v="0"/>
    <x v="2"/>
  </r>
  <r>
    <s v="Call_7542"/>
    <x v="10"/>
    <n v="69"/>
    <x v="4"/>
    <x v="78"/>
    <n v="126"/>
    <n v="3.7"/>
    <n v="2023"/>
    <x v="6"/>
    <x v="0"/>
    <x v="2"/>
  </r>
  <r>
    <s v="Call_7543"/>
    <x v="9"/>
    <n v="149"/>
    <x v="0"/>
    <x v="78"/>
    <n v="60"/>
    <n v="3.9"/>
    <n v="2023"/>
    <x v="6"/>
    <x v="1"/>
    <x v="2"/>
  </r>
  <r>
    <s v="Call_7544"/>
    <x v="12"/>
    <n v="57"/>
    <x v="4"/>
    <x v="78"/>
    <n v="35"/>
    <n v="3.5"/>
    <n v="2023"/>
    <x v="6"/>
    <x v="2"/>
    <x v="2"/>
  </r>
  <r>
    <s v="Call_7545"/>
    <x v="1"/>
    <n v="113"/>
    <x v="1"/>
    <x v="78"/>
    <n v="81"/>
    <n v="3.5"/>
    <n v="2023"/>
    <x v="6"/>
    <x v="0"/>
    <x v="2"/>
  </r>
  <r>
    <s v="Call_7546"/>
    <x v="0"/>
    <n v="160"/>
    <x v="0"/>
    <x v="78"/>
    <n v="116"/>
    <n v="3.4"/>
    <n v="2023"/>
    <x v="6"/>
    <x v="1"/>
    <x v="1"/>
  </r>
  <r>
    <s v="Call_7547"/>
    <x v="4"/>
    <n v="158"/>
    <x v="2"/>
    <x v="78"/>
    <n v="60"/>
    <n v="4.5"/>
    <n v="2023"/>
    <x v="6"/>
    <x v="1"/>
    <x v="0"/>
  </r>
  <r>
    <s v="Call_7548"/>
    <x v="10"/>
    <n v="77"/>
    <x v="0"/>
    <x v="79"/>
    <n v="130"/>
    <n v="4.2"/>
    <n v="2023"/>
    <x v="0"/>
    <x v="0"/>
    <x v="2"/>
  </r>
  <r>
    <s v="Call_7549"/>
    <x v="7"/>
    <n v="118"/>
    <x v="3"/>
    <x v="79"/>
    <n v="99"/>
    <n v="5"/>
    <n v="2023"/>
    <x v="0"/>
    <x v="0"/>
    <x v="0"/>
  </r>
  <r>
    <s v="Call_7550"/>
    <x v="11"/>
    <n v="75"/>
    <x v="1"/>
    <x v="79"/>
    <n v="135"/>
    <n v="4.7"/>
    <n v="2023"/>
    <x v="0"/>
    <x v="0"/>
    <x v="0"/>
  </r>
  <r>
    <s v="Call_7551"/>
    <x v="1"/>
    <n v="103"/>
    <x v="0"/>
    <x v="79"/>
    <n v="42"/>
    <n v="2.8"/>
    <n v="2023"/>
    <x v="0"/>
    <x v="0"/>
    <x v="1"/>
  </r>
  <r>
    <s v="Call_7552"/>
    <x v="10"/>
    <n v="116"/>
    <x v="3"/>
    <x v="80"/>
    <n v="63"/>
    <n v="3.4"/>
    <n v="2023"/>
    <x v="1"/>
    <x v="0"/>
    <x v="1"/>
  </r>
  <r>
    <s v="Call_7553"/>
    <x v="5"/>
    <n v="61"/>
    <x v="2"/>
    <x v="80"/>
    <n v="140"/>
    <n v="1.8"/>
    <n v="2023"/>
    <x v="1"/>
    <x v="0"/>
    <x v="3"/>
  </r>
  <r>
    <s v="Call_7554"/>
    <x v="12"/>
    <n v="126"/>
    <x v="1"/>
    <x v="80"/>
    <n v="128"/>
    <n v="4.2"/>
    <n v="2023"/>
    <x v="1"/>
    <x v="1"/>
    <x v="2"/>
  </r>
  <r>
    <s v="Call_7555"/>
    <x v="8"/>
    <n v="141"/>
    <x v="4"/>
    <x v="80"/>
    <n v="80"/>
    <n v="4.4000000000000004"/>
    <n v="2023"/>
    <x v="1"/>
    <x v="1"/>
    <x v="2"/>
  </r>
  <r>
    <s v="Call_7556"/>
    <x v="4"/>
    <n v="95"/>
    <x v="3"/>
    <x v="80"/>
    <n v="28"/>
    <n v="2.7"/>
    <n v="2023"/>
    <x v="1"/>
    <x v="0"/>
    <x v="1"/>
  </r>
  <r>
    <s v="Call_7557"/>
    <x v="11"/>
    <n v="39"/>
    <x v="2"/>
    <x v="81"/>
    <n v="81"/>
    <n v="5"/>
    <n v="2023"/>
    <x v="2"/>
    <x v="2"/>
    <x v="0"/>
  </r>
  <r>
    <s v="Call_7558"/>
    <x v="1"/>
    <n v="127"/>
    <x v="1"/>
    <x v="81"/>
    <n v="99"/>
    <n v="3.9"/>
    <n v="2023"/>
    <x v="2"/>
    <x v="1"/>
    <x v="2"/>
  </r>
  <r>
    <s v="Call_7559"/>
    <x v="5"/>
    <n v="78"/>
    <x v="1"/>
    <x v="81"/>
    <n v="43"/>
    <n v="3.8"/>
    <n v="2023"/>
    <x v="2"/>
    <x v="0"/>
    <x v="2"/>
  </r>
  <r>
    <s v="Call_7560"/>
    <x v="7"/>
    <n v="40"/>
    <x v="1"/>
    <x v="81"/>
    <n v="34"/>
    <n v="4.5999999999999996"/>
    <n v="2023"/>
    <x v="2"/>
    <x v="2"/>
    <x v="0"/>
  </r>
  <r>
    <s v="Call_7561"/>
    <x v="5"/>
    <n v="56"/>
    <x v="2"/>
    <x v="81"/>
    <n v="225"/>
    <n v="4.5999999999999996"/>
    <n v="2023"/>
    <x v="2"/>
    <x v="2"/>
    <x v="0"/>
  </r>
  <r>
    <s v="Call_7562"/>
    <x v="11"/>
    <n v="59"/>
    <x v="4"/>
    <x v="81"/>
    <n v="210"/>
    <n v="4.5"/>
    <n v="2023"/>
    <x v="2"/>
    <x v="2"/>
    <x v="0"/>
  </r>
  <r>
    <s v="Call_7563"/>
    <x v="12"/>
    <n v="30"/>
    <x v="1"/>
    <x v="81"/>
    <n v="168"/>
    <n v="4.2"/>
    <n v="2023"/>
    <x v="2"/>
    <x v="2"/>
    <x v="2"/>
  </r>
  <r>
    <s v="Call_7564"/>
    <x v="7"/>
    <n v="63"/>
    <x v="0"/>
    <x v="82"/>
    <n v="82"/>
    <n v="4.5"/>
    <n v="2023"/>
    <x v="3"/>
    <x v="0"/>
    <x v="0"/>
  </r>
  <r>
    <s v="Call_7565"/>
    <x v="2"/>
    <n v="56"/>
    <x v="3"/>
    <x v="82"/>
    <n v="88"/>
    <n v="4.0999999999999996"/>
    <n v="2023"/>
    <x v="3"/>
    <x v="2"/>
    <x v="2"/>
  </r>
  <r>
    <s v="Call_7566"/>
    <x v="14"/>
    <n v="95"/>
    <x v="0"/>
    <x v="82"/>
    <n v="111"/>
    <n v="3.3"/>
    <n v="2023"/>
    <x v="3"/>
    <x v="0"/>
    <x v="1"/>
  </r>
  <r>
    <s v="Call_7567"/>
    <x v="13"/>
    <n v="128"/>
    <x v="4"/>
    <x v="82"/>
    <n v="60"/>
    <n v="3.8"/>
    <n v="2023"/>
    <x v="3"/>
    <x v="1"/>
    <x v="2"/>
  </r>
  <r>
    <s v="Call_7568"/>
    <x v="4"/>
    <n v="49"/>
    <x v="0"/>
    <x v="82"/>
    <n v="80"/>
    <n v="3"/>
    <n v="2023"/>
    <x v="3"/>
    <x v="2"/>
    <x v="1"/>
  </r>
  <r>
    <s v="Call_7569"/>
    <x v="13"/>
    <n v="89"/>
    <x v="2"/>
    <x v="83"/>
    <n v="90"/>
    <n v="4.5999999999999996"/>
    <n v="2023"/>
    <x v="5"/>
    <x v="0"/>
    <x v="0"/>
  </r>
  <r>
    <s v="Call_7570"/>
    <x v="9"/>
    <n v="87"/>
    <x v="0"/>
    <x v="83"/>
    <n v="225"/>
    <n v="2.9"/>
    <n v="2023"/>
    <x v="5"/>
    <x v="0"/>
    <x v="1"/>
  </r>
  <r>
    <s v="Call_7571"/>
    <x v="0"/>
    <n v="60"/>
    <x v="1"/>
    <x v="84"/>
    <n v="215"/>
    <n v="3.2"/>
    <n v="2023"/>
    <x v="6"/>
    <x v="0"/>
    <x v="1"/>
  </r>
  <r>
    <s v="Call_7572"/>
    <x v="3"/>
    <n v="42"/>
    <x v="2"/>
    <x v="84"/>
    <n v="45"/>
    <n v="1.5"/>
    <n v="2023"/>
    <x v="6"/>
    <x v="2"/>
    <x v="3"/>
  </r>
  <r>
    <s v="Call_7573"/>
    <x v="6"/>
    <n v="99"/>
    <x v="1"/>
    <x v="84"/>
    <n v="74"/>
    <n v="4"/>
    <n v="2023"/>
    <x v="6"/>
    <x v="0"/>
    <x v="2"/>
  </r>
  <r>
    <s v="Call_7574"/>
    <x v="2"/>
    <n v="20"/>
    <x v="2"/>
    <x v="84"/>
    <n v="60"/>
    <n v="3.6"/>
    <n v="2023"/>
    <x v="6"/>
    <x v="3"/>
    <x v="2"/>
  </r>
  <r>
    <s v="Call_7575"/>
    <x v="7"/>
    <n v="65"/>
    <x v="1"/>
    <x v="84"/>
    <n v="64"/>
    <n v="3.7"/>
    <n v="2023"/>
    <x v="6"/>
    <x v="0"/>
    <x v="2"/>
  </r>
  <r>
    <s v="Call_7576"/>
    <x v="12"/>
    <n v="71"/>
    <x v="0"/>
    <x v="85"/>
    <n v="110"/>
    <n v="4.8"/>
    <n v="2023"/>
    <x v="0"/>
    <x v="0"/>
    <x v="0"/>
  </r>
  <r>
    <s v="Call_7577"/>
    <x v="1"/>
    <n v="95"/>
    <x v="4"/>
    <x v="85"/>
    <n v="52"/>
    <n v="1.2"/>
    <n v="2023"/>
    <x v="0"/>
    <x v="0"/>
    <x v="5"/>
  </r>
  <r>
    <s v="Call_7578"/>
    <x v="2"/>
    <n v="81"/>
    <x v="3"/>
    <x v="86"/>
    <n v="160"/>
    <n v="4.7"/>
    <n v="2023"/>
    <x v="1"/>
    <x v="0"/>
    <x v="0"/>
  </r>
  <r>
    <s v="Call_7579"/>
    <x v="10"/>
    <n v="137"/>
    <x v="3"/>
    <x v="86"/>
    <n v="215"/>
    <n v="4.7"/>
    <n v="2023"/>
    <x v="1"/>
    <x v="1"/>
    <x v="0"/>
  </r>
  <r>
    <s v="Call_7580"/>
    <x v="10"/>
    <n v="40"/>
    <x v="4"/>
    <x v="86"/>
    <n v="220"/>
    <n v="4.5"/>
    <n v="2023"/>
    <x v="1"/>
    <x v="2"/>
    <x v="0"/>
  </r>
  <r>
    <s v="Call_7581"/>
    <x v="6"/>
    <n v="111"/>
    <x v="1"/>
    <x v="87"/>
    <n v="175"/>
    <n v="3.5"/>
    <n v="2023"/>
    <x v="2"/>
    <x v="0"/>
    <x v="2"/>
  </r>
  <r>
    <s v="Call_7582"/>
    <x v="12"/>
    <n v="106"/>
    <x v="1"/>
    <x v="87"/>
    <n v="145"/>
    <n v="4.0999999999999996"/>
    <n v="2023"/>
    <x v="2"/>
    <x v="0"/>
    <x v="2"/>
  </r>
  <r>
    <s v="Call_7583"/>
    <x v="3"/>
    <n v="133"/>
    <x v="2"/>
    <x v="87"/>
    <n v="72"/>
    <n v="4.4000000000000004"/>
    <n v="2023"/>
    <x v="2"/>
    <x v="1"/>
    <x v="2"/>
  </r>
  <r>
    <s v="Call_7584"/>
    <x v="5"/>
    <n v="38"/>
    <x v="1"/>
    <x v="88"/>
    <n v="81"/>
    <n v="3.6"/>
    <n v="2023"/>
    <x v="3"/>
    <x v="2"/>
    <x v="2"/>
  </r>
  <r>
    <s v="Call_7585"/>
    <x v="11"/>
    <n v="130"/>
    <x v="4"/>
    <x v="88"/>
    <n v="54"/>
    <n v="4.0999999999999996"/>
    <n v="2023"/>
    <x v="3"/>
    <x v="1"/>
    <x v="2"/>
  </r>
  <r>
    <s v="Call_7586"/>
    <x v="7"/>
    <n v="23"/>
    <x v="2"/>
    <x v="88"/>
    <n v="105"/>
    <n v="4.8"/>
    <n v="2023"/>
    <x v="3"/>
    <x v="3"/>
    <x v="0"/>
  </r>
  <r>
    <s v="Call_7587"/>
    <x v="11"/>
    <n v="124"/>
    <x v="1"/>
    <x v="89"/>
    <n v="176"/>
    <n v="3.9"/>
    <n v="2023"/>
    <x v="4"/>
    <x v="1"/>
    <x v="2"/>
  </r>
  <r>
    <s v="Call_7588"/>
    <x v="2"/>
    <n v="107"/>
    <x v="1"/>
    <x v="89"/>
    <n v="115"/>
    <n v="3.8"/>
    <n v="2023"/>
    <x v="4"/>
    <x v="0"/>
    <x v="2"/>
  </r>
  <r>
    <s v="Call_7589"/>
    <x v="10"/>
    <n v="60"/>
    <x v="0"/>
    <x v="89"/>
    <n v="116"/>
    <n v="3.9"/>
    <n v="2023"/>
    <x v="4"/>
    <x v="0"/>
    <x v="2"/>
  </r>
  <r>
    <s v="Call_7590"/>
    <x v="10"/>
    <n v="158"/>
    <x v="4"/>
    <x v="89"/>
    <n v="100"/>
    <n v="4.0999999999999996"/>
    <n v="2023"/>
    <x v="4"/>
    <x v="1"/>
    <x v="2"/>
  </r>
  <r>
    <s v="Call_7591"/>
    <x v="9"/>
    <n v="110"/>
    <x v="4"/>
    <x v="90"/>
    <n v="36"/>
    <n v="2.2000000000000002"/>
    <n v="2023"/>
    <x v="5"/>
    <x v="0"/>
    <x v="3"/>
  </r>
  <r>
    <s v="Call_7592"/>
    <x v="13"/>
    <n v="70"/>
    <x v="4"/>
    <x v="90"/>
    <n v="114"/>
    <n v="5"/>
    <n v="2023"/>
    <x v="5"/>
    <x v="0"/>
    <x v="0"/>
  </r>
  <r>
    <s v="Call_7593"/>
    <x v="13"/>
    <n v="150"/>
    <x v="0"/>
    <x v="90"/>
    <n v="24"/>
    <n v="3.8"/>
    <n v="2023"/>
    <x v="5"/>
    <x v="1"/>
    <x v="2"/>
  </r>
  <r>
    <s v="Call_7594"/>
    <x v="5"/>
    <n v="36"/>
    <x v="1"/>
    <x v="90"/>
    <n v="135"/>
    <n v="4.5999999999999996"/>
    <n v="2023"/>
    <x v="5"/>
    <x v="2"/>
    <x v="0"/>
  </r>
  <r>
    <s v="Call_7595"/>
    <x v="11"/>
    <n v="74"/>
    <x v="1"/>
    <x v="90"/>
    <n v="30"/>
    <n v="4"/>
    <n v="2023"/>
    <x v="5"/>
    <x v="0"/>
    <x v="2"/>
  </r>
  <r>
    <s v="Call_7596"/>
    <x v="1"/>
    <n v="75"/>
    <x v="1"/>
    <x v="90"/>
    <n v="84"/>
    <n v="2.8"/>
    <n v="2023"/>
    <x v="5"/>
    <x v="0"/>
    <x v="1"/>
  </r>
  <r>
    <s v="Call_7597"/>
    <x v="14"/>
    <n v="70"/>
    <x v="3"/>
    <x v="90"/>
    <n v="42"/>
    <n v="4.4000000000000004"/>
    <n v="2023"/>
    <x v="5"/>
    <x v="0"/>
    <x v="2"/>
  </r>
  <r>
    <s v="Call_7598"/>
    <x v="9"/>
    <n v="23"/>
    <x v="4"/>
    <x v="90"/>
    <n v="117"/>
    <n v="2.4"/>
    <n v="2023"/>
    <x v="5"/>
    <x v="3"/>
    <x v="3"/>
  </r>
  <r>
    <s v="Call_7599"/>
    <x v="6"/>
    <n v="104"/>
    <x v="2"/>
    <x v="90"/>
    <n v="164"/>
    <n v="4"/>
    <n v="2023"/>
    <x v="5"/>
    <x v="0"/>
    <x v="2"/>
  </r>
  <r>
    <s v="Call_7600"/>
    <x v="13"/>
    <n v="95"/>
    <x v="3"/>
    <x v="91"/>
    <n v="123"/>
    <n v="4.4000000000000004"/>
    <n v="2023"/>
    <x v="6"/>
    <x v="0"/>
    <x v="2"/>
  </r>
  <r>
    <s v="Call_7601"/>
    <x v="4"/>
    <n v="49"/>
    <x v="0"/>
    <x v="91"/>
    <n v="172"/>
    <n v="2.9"/>
    <n v="2023"/>
    <x v="6"/>
    <x v="2"/>
    <x v="1"/>
  </r>
  <r>
    <s v="Call_7602"/>
    <x v="12"/>
    <n v="8"/>
    <x v="4"/>
    <x v="91"/>
    <n v="20"/>
    <n v="4.8"/>
    <n v="2023"/>
    <x v="6"/>
    <x v="4"/>
    <x v="0"/>
  </r>
  <r>
    <s v="Call_7603"/>
    <x v="13"/>
    <n v="157"/>
    <x v="0"/>
    <x v="91"/>
    <n v="72"/>
    <n v="3.7"/>
    <n v="2023"/>
    <x v="6"/>
    <x v="1"/>
    <x v="2"/>
  </r>
  <r>
    <s v="Call_7604"/>
    <x v="2"/>
    <n v="74"/>
    <x v="1"/>
    <x v="91"/>
    <n v="32"/>
    <n v="4.8"/>
    <n v="2023"/>
    <x v="6"/>
    <x v="0"/>
    <x v="0"/>
  </r>
  <r>
    <s v="Call_7605"/>
    <x v="9"/>
    <n v="72"/>
    <x v="3"/>
    <x v="91"/>
    <n v="140"/>
    <n v="3.2"/>
    <n v="2023"/>
    <x v="6"/>
    <x v="0"/>
    <x v="1"/>
  </r>
  <r>
    <s v="Call_7606"/>
    <x v="2"/>
    <n v="79"/>
    <x v="1"/>
    <x v="92"/>
    <n v="120"/>
    <n v="4.9000000000000004"/>
    <n v="2023"/>
    <x v="0"/>
    <x v="0"/>
    <x v="0"/>
  </r>
  <r>
    <s v="Call_7607"/>
    <x v="11"/>
    <n v="23"/>
    <x v="1"/>
    <x v="92"/>
    <n v="86"/>
    <n v="2.2000000000000002"/>
    <n v="2023"/>
    <x v="0"/>
    <x v="3"/>
    <x v="3"/>
  </r>
  <r>
    <s v="Call_7608"/>
    <x v="1"/>
    <n v="69"/>
    <x v="1"/>
    <x v="92"/>
    <n v="132"/>
    <n v="5"/>
    <n v="2023"/>
    <x v="0"/>
    <x v="0"/>
    <x v="0"/>
  </r>
  <r>
    <s v="Call_7609"/>
    <x v="10"/>
    <n v="64"/>
    <x v="1"/>
    <x v="92"/>
    <n v="80"/>
    <n v="3.3"/>
    <n v="2023"/>
    <x v="0"/>
    <x v="0"/>
    <x v="1"/>
  </r>
  <r>
    <s v="Call_7610"/>
    <x v="8"/>
    <n v="47"/>
    <x v="0"/>
    <x v="92"/>
    <n v="132"/>
    <n v="3.7"/>
    <n v="2023"/>
    <x v="0"/>
    <x v="2"/>
    <x v="2"/>
  </r>
  <r>
    <s v="Call_7611"/>
    <x v="2"/>
    <n v="55"/>
    <x v="3"/>
    <x v="92"/>
    <n v="27"/>
    <n v="3.7"/>
    <n v="2023"/>
    <x v="0"/>
    <x v="2"/>
    <x v="2"/>
  </r>
  <r>
    <s v="Call_7612"/>
    <x v="6"/>
    <n v="104"/>
    <x v="3"/>
    <x v="93"/>
    <n v="68"/>
    <n v="3.6"/>
    <n v="2023"/>
    <x v="1"/>
    <x v="0"/>
    <x v="2"/>
  </r>
  <r>
    <s v="Call_7613"/>
    <x v="8"/>
    <n v="116"/>
    <x v="1"/>
    <x v="93"/>
    <n v="22"/>
    <n v="4.7"/>
    <n v="2023"/>
    <x v="1"/>
    <x v="0"/>
    <x v="0"/>
  </r>
  <r>
    <s v="Call_7614"/>
    <x v="11"/>
    <n v="99"/>
    <x v="3"/>
    <x v="93"/>
    <n v="42"/>
    <n v="3.1"/>
    <n v="2023"/>
    <x v="1"/>
    <x v="0"/>
    <x v="1"/>
  </r>
  <r>
    <s v="Call_7615"/>
    <x v="6"/>
    <n v="84"/>
    <x v="3"/>
    <x v="94"/>
    <n v="38"/>
    <n v="3.3"/>
    <n v="2023"/>
    <x v="2"/>
    <x v="0"/>
    <x v="1"/>
  </r>
  <r>
    <s v="Call_7616"/>
    <x v="12"/>
    <n v="159"/>
    <x v="3"/>
    <x v="94"/>
    <n v="42"/>
    <n v="4.5"/>
    <n v="2023"/>
    <x v="2"/>
    <x v="1"/>
    <x v="0"/>
  </r>
  <r>
    <s v="Call_7617"/>
    <x v="5"/>
    <n v="25"/>
    <x v="0"/>
    <x v="94"/>
    <n v="75"/>
    <n v="3.9"/>
    <n v="2023"/>
    <x v="2"/>
    <x v="3"/>
    <x v="2"/>
  </r>
  <r>
    <s v="Call_7618"/>
    <x v="12"/>
    <n v="53"/>
    <x v="4"/>
    <x v="95"/>
    <n v="23"/>
    <n v="4.9000000000000004"/>
    <n v="2023"/>
    <x v="3"/>
    <x v="2"/>
    <x v="0"/>
  </r>
  <r>
    <s v="Call_7619"/>
    <x v="12"/>
    <n v="89"/>
    <x v="0"/>
    <x v="95"/>
    <n v="200"/>
    <n v="4.8"/>
    <n v="2023"/>
    <x v="3"/>
    <x v="0"/>
    <x v="0"/>
  </r>
  <r>
    <s v="Call_7620"/>
    <x v="3"/>
    <n v="73"/>
    <x v="1"/>
    <x v="96"/>
    <n v="45"/>
    <n v="3.6"/>
    <n v="2023"/>
    <x v="4"/>
    <x v="0"/>
    <x v="2"/>
  </r>
  <r>
    <s v="Call_7621"/>
    <x v="11"/>
    <n v="50"/>
    <x v="1"/>
    <x v="96"/>
    <n v="105"/>
    <n v="3.5"/>
    <n v="2023"/>
    <x v="4"/>
    <x v="2"/>
    <x v="2"/>
  </r>
  <r>
    <s v="Call_7622"/>
    <x v="4"/>
    <n v="98"/>
    <x v="1"/>
    <x v="96"/>
    <n v="22"/>
    <n v="3.8"/>
    <n v="2023"/>
    <x v="4"/>
    <x v="0"/>
    <x v="2"/>
  </r>
  <r>
    <s v="Call_7623"/>
    <x v="7"/>
    <n v="114"/>
    <x v="3"/>
    <x v="97"/>
    <n v="126"/>
    <n v="4.4000000000000004"/>
    <n v="2023"/>
    <x v="5"/>
    <x v="0"/>
    <x v="2"/>
  </r>
  <r>
    <s v="Call_7624"/>
    <x v="10"/>
    <n v="67"/>
    <x v="3"/>
    <x v="97"/>
    <n v="35"/>
    <n v="3"/>
    <n v="2023"/>
    <x v="5"/>
    <x v="0"/>
    <x v="1"/>
  </r>
  <r>
    <s v="Call_7625"/>
    <x v="2"/>
    <n v="91"/>
    <x v="1"/>
    <x v="97"/>
    <n v="84"/>
    <n v="4.5"/>
    <n v="2023"/>
    <x v="5"/>
    <x v="0"/>
    <x v="0"/>
  </r>
  <r>
    <s v="Call_7626"/>
    <x v="14"/>
    <n v="67"/>
    <x v="1"/>
    <x v="98"/>
    <n v="172"/>
    <n v="4.5"/>
    <n v="2023"/>
    <x v="6"/>
    <x v="0"/>
    <x v="0"/>
  </r>
  <r>
    <s v="Call_7627"/>
    <x v="7"/>
    <n v="139"/>
    <x v="0"/>
    <x v="98"/>
    <n v="114"/>
    <n v="4"/>
    <n v="2023"/>
    <x v="6"/>
    <x v="1"/>
    <x v="2"/>
  </r>
  <r>
    <s v="Call_7628"/>
    <x v="14"/>
    <n v="102"/>
    <x v="0"/>
    <x v="98"/>
    <n v="60"/>
    <n v="3.8"/>
    <n v="2023"/>
    <x v="6"/>
    <x v="0"/>
    <x v="2"/>
  </r>
  <r>
    <s v="Call_7629"/>
    <x v="13"/>
    <n v="108"/>
    <x v="2"/>
    <x v="98"/>
    <n v="26"/>
    <n v="3.3"/>
    <n v="2023"/>
    <x v="6"/>
    <x v="0"/>
    <x v="1"/>
  </r>
  <r>
    <s v="Call_7630"/>
    <x v="5"/>
    <n v="66"/>
    <x v="1"/>
    <x v="98"/>
    <n v="210"/>
    <n v="4.3"/>
    <n v="2023"/>
    <x v="6"/>
    <x v="0"/>
    <x v="2"/>
  </r>
  <r>
    <s v="Call_7631"/>
    <x v="9"/>
    <n v="85"/>
    <x v="0"/>
    <x v="98"/>
    <n v="129"/>
    <n v="4.2"/>
    <n v="2023"/>
    <x v="6"/>
    <x v="0"/>
    <x v="2"/>
  </r>
  <r>
    <s v="Call_7632"/>
    <x v="10"/>
    <n v="55"/>
    <x v="2"/>
    <x v="98"/>
    <n v="215"/>
    <n v="4.3"/>
    <n v="2023"/>
    <x v="6"/>
    <x v="2"/>
    <x v="2"/>
  </r>
  <r>
    <s v="Call_7633"/>
    <x v="13"/>
    <n v="17"/>
    <x v="4"/>
    <x v="98"/>
    <n v="69"/>
    <n v="4.5999999999999996"/>
    <n v="2023"/>
    <x v="6"/>
    <x v="3"/>
    <x v="0"/>
  </r>
  <r>
    <s v="Call_7634"/>
    <x v="10"/>
    <n v="128"/>
    <x v="4"/>
    <x v="98"/>
    <n v="140"/>
    <n v="3"/>
    <n v="2023"/>
    <x v="6"/>
    <x v="1"/>
    <x v="1"/>
  </r>
  <r>
    <s v="Call_7635"/>
    <x v="11"/>
    <n v="45"/>
    <x v="2"/>
    <x v="99"/>
    <n v="156"/>
    <n v="2.7"/>
    <n v="2023"/>
    <x v="0"/>
    <x v="2"/>
    <x v="1"/>
  </r>
  <r>
    <s v="Call_7636"/>
    <x v="13"/>
    <n v="41"/>
    <x v="4"/>
    <x v="99"/>
    <n v="164"/>
    <n v="3.1"/>
    <n v="2023"/>
    <x v="0"/>
    <x v="2"/>
    <x v="1"/>
  </r>
  <r>
    <s v="Call_7637"/>
    <x v="8"/>
    <n v="49"/>
    <x v="4"/>
    <x v="99"/>
    <n v="195"/>
    <n v="2.6"/>
    <n v="2023"/>
    <x v="0"/>
    <x v="2"/>
    <x v="1"/>
  </r>
  <r>
    <s v="Call_7638"/>
    <x v="1"/>
    <n v="21"/>
    <x v="3"/>
    <x v="99"/>
    <n v="74"/>
    <n v="4.5999999999999996"/>
    <n v="2023"/>
    <x v="0"/>
    <x v="3"/>
    <x v="0"/>
  </r>
  <r>
    <s v="Call_7639"/>
    <x v="12"/>
    <n v="133"/>
    <x v="2"/>
    <x v="99"/>
    <n v="100"/>
    <n v="4"/>
    <n v="2023"/>
    <x v="0"/>
    <x v="1"/>
    <x v="2"/>
  </r>
  <r>
    <s v="Call_7640"/>
    <x v="0"/>
    <n v="135"/>
    <x v="1"/>
    <x v="99"/>
    <n v="185"/>
    <n v="4.5"/>
    <n v="2023"/>
    <x v="0"/>
    <x v="1"/>
    <x v="0"/>
  </r>
  <r>
    <s v="Call_7641"/>
    <x v="7"/>
    <n v="69"/>
    <x v="2"/>
    <x v="99"/>
    <n v="130"/>
    <n v="1.9"/>
    <n v="2023"/>
    <x v="0"/>
    <x v="0"/>
    <x v="3"/>
  </r>
  <r>
    <s v="Call_7642"/>
    <x v="6"/>
    <n v="110"/>
    <x v="3"/>
    <x v="100"/>
    <n v="21"/>
    <n v="2.6"/>
    <n v="2023"/>
    <x v="1"/>
    <x v="0"/>
    <x v="1"/>
  </r>
  <r>
    <s v="Call_7643"/>
    <x v="14"/>
    <n v="64"/>
    <x v="0"/>
    <x v="100"/>
    <n v="88"/>
    <n v="4.3"/>
    <n v="2023"/>
    <x v="1"/>
    <x v="0"/>
    <x v="2"/>
  </r>
  <r>
    <s v="Call_7644"/>
    <x v="2"/>
    <n v="105"/>
    <x v="4"/>
    <x v="100"/>
    <n v="35"/>
    <n v="4.4000000000000004"/>
    <n v="2023"/>
    <x v="1"/>
    <x v="0"/>
    <x v="2"/>
  </r>
  <r>
    <s v="Call_7645"/>
    <x v="14"/>
    <n v="165"/>
    <x v="1"/>
    <x v="100"/>
    <n v="68"/>
    <n v="4.3"/>
    <n v="2023"/>
    <x v="1"/>
    <x v="1"/>
    <x v="2"/>
  </r>
  <r>
    <s v="Call_7646"/>
    <x v="11"/>
    <n v="125"/>
    <x v="1"/>
    <x v="100"/>
    <n v="148"/>
    <n v="4.5"/>
    <n v="2023"/>
    <x v="1"/>
    <x v="1"/>
    <x v="0"/>
  </r>
  <r>
    <s v="Call_7647"/>
    <x v="2"/>
    <n v="88"/>
    <x v="0"/>
    <x v="101"/>
    <n v="81"/>
    <n v="4.2"/>
    <n v="2023"/>
    <x v="2"/>
    <x v="0"/>
    <x v="2"/>
  </r>
  <r>
    <s v="Call_7648"/>
    <x v="7"/>
    <n v="6"/>
    <x v="0"/>
    <x v="101"/>
    <n v="75"/>
    <n v="3.9"/>
    <n v="2023"/>
    <x v="2"/>
    <x v="4"/>
    <x v="2"/>
  </r>
  <r>
    <s v="Call_7649"/>
    <x v="9"/>
    <n v="69"/>
    <x v="2"/>
    <x v="102"/>
    <n v="32"/>
    <n v="3.6"/>
    <n v="2023"/>
    <x v="3"/>
    <x v="0"/>
    <x v="2"/>
  </r>
  <r>
    <s v="Call_7650"/>
    <x v="13"/>
    <n v="107"/>
    <x v="2"/>
    <x v="102"/>
    <n v="156"/>
    <n v="3.8"/>
    <n v="2023"/>
    <x v="3"/>
    <x v="0"/>
    <x v="2"/>
  </r>
  <r>
    <s v="Call_7651"/>
    <x v="1"/>
    <n v="90"/>
    <x v="1"/>
    <x v="102"/>
    <n v="99"/>
    <n v="4.9000000000000004"/>
    <n v="2023"/>
    <x v="3"/>
    <x v="0"/>
    <x v="0"/>
  </r>
  <r>
    <s v="Call_7652"/>
    <x v="0"/>
    <n v="120"/>
    <x v="4"/>
    <x v="102"/>
    <n v="26"/>
    <n v="4"/>
    <n v="2023"/>
    <x v="3"/>
    <x v="1"/>
    <x v="2"/>
  </r>
  <r>
    <s v="Call_7653"/>
    <x v="4"/>
    <n v="47"/>
    <x v="2"/>
    <x v="102"/>
    <n v="84"/>
    <n v="4.0999999999999996"/>
    <n v="2023"/>
    <x v="3"/>
    <x v="2"/>
    <x v="2"/>
  </r>
  <r>
    <s v="Call_7654"/>
    <x v="3"/>
    <n v="60"/>
    <x v="4"/>
    <x v="102"/>
    <n v="84"/>
    <n v="4.8"/>
    <n v="2023"/>
    <x v="3"/>
    <x v="0"/>
    <x v="0"/>
  </r>
  <r>
    <s v="Call_7655"/>
    <x v="10"/>
    <n v="64"/>
    <x v="1"/>
    <x v="102"/>
    <n v="170"/>
    <n v="2.2999999999999998"/>
    <n v="2023"/>
    <x v="3"/>
    <x v="0"/>
    <x v="3"/>
  </r>
  <r>
    <s v="Call_7656"/>
    <x v="14"/>
    <n v="62"/>
    <x v="2"/>
    <x v="102"/>
    <n v="35"/>
    <n v="4.4000000000000004"/>
    <n v="2023"/>
    <x v="3"/>
    <x v="0"/>
    <x v="2"/>
  </r>
  <r>
    <s v="Call_7657"/>
    <x v="6"/>
    <n v="88"/>
    <x v="2"/>
    <x v="103"/>
    <n v="35"/>
    <n v="3.8"/>
    <n v="2023"/>
    <x v="4"/>
    <x v="0"/>
    <x v="2"/>
  </r>
  <r>
    <s v="Call_7658"/>
    <x v="11"/>
    <n v="116"/>
    <x v="2"/>
    <x v="103"/>
    <n v="132"/>
    <n v="5"/>
    <n v="2023"/>
    <x v="4"/>
    <x v="0"/>
    <x v="0"/>
  </r>
  <r>
    <s v="Call_7659"/>
    <x v="1"/>
    <n v="82"/>
    <x v="0"/>
    <x v="104"/>
    <n v="144"/>
    <n v="3.3"/>
    <n v="2023"/>
    <x v="5"/>
    <x v="0"/>
    <x v="1"/>
  </r>
  <r>
    <s v="Call_7660"/>
    <x v="14"/>
    <n v="99"/>
    <x v="1"/>
    <x v="104"/>
    <n v="48"/>
    <n v="5"/>
    <n v="2023"/>
    <x v="5"/>
    <x v="0"/>
    <x v="0"/>
  </r>
  <r>
    <s v="Call_7661"/>
    <x v="14"/>
    <n v="55"/>
    <x v="0"/>
    <x v="104"/>
    <n v="200"/>
    <n v="2.2999999999999998"/>
    <n v="2023"/>
    <x v="5"/>
    <x v="2"/>
    <x v="3"/>
  </r>
  <r>
    <s v="Call_7662"/>
    <x v="10"/>
    <n v="61"/>
    <x v="4"/>
    <x v="104"/>
    <n v="38"/>
    <n v="4.8"/>
    <n v="2023"/>
    <x v="5"/>
    <x v="0"/>
    <x v="0"/>
  </r>
  <r>
    <s v="Call_7663"/>
    <x v="11"/>
    <n v="36"/>
    <x v="3"/>
    <x v="104"/>
    <n v="81"/>
    <n v="3.7"/>
    <n v="2023"/>
    <x v="5"/>
    <x v="2"/>
    <x v="2"/>
  </r>
  <r>
    <s v="Call_7664"/>
    <x v="1"/>
    <n v="123"/>
    <x v="2"/>
    <x v="104"/>
    <n v="120"/>
    <n v="4.2"/>
    <n v="2023"/>
    <x v="5"/>
    <x v="1"/>
    <x v="2"/>
  </r>
  <r>
    <s v="Call_7665"/>
    <x v="8"/>
    <n v="24"/>
    <x v="4"/>
    <x v="104"/>
    <n v="74"/>
    <n v="4.8"/>
    <n v="2023"/>
    <x v="5"/>
    <x v="3"/>
    <x v="0"/>
  </r>
  <r>
    <s v="Call_7666"/>
    <x v="1"/>
    <n v="43"/>
    <x v="2"/>
    <x v="105"/>
    <n v="128"/>
    <n v="4.7"/>
    <n v="2023"/>
    <x v="6"/>
    <x v="2"/>
    <x v="0"/>
  </r>
  <r>
    <s v="Call_7667"/>
    <x v="3"/>
    <n v="95"/>
    <x v="1"/>
    <x v="105"/>
    <n v="21"/>
    <n v="3.9"/>
    <n v="2023"/>
    <x v="6"/>
    <x v="0"/>
    <x v="2"/>
  </r>
  <r>
    <s v="Call_7668"/>
    <x v="14"/>
    <n v="53"/>
    <x v="2"/>
    <x v="105"/>
    <n v="110"/>
    <n v="4.3"/>
    <n v="2023"/>
    <x v="6"/>
    <x v="2"/>
    <x v="2"/>
  </r>
  <r>
    <s v="Call_7669"/>
    <x v="1"/>
    <n v="113"/>
    <x v="2"/>
    <x v="105"/>
    <n v="145"/>
    <n v="4"/>
    <n v="2023"/>
    <x v="6"/>
    <x v="0"/>
    <x v="2"/>
  </r>
  <r>
    <s v="Call_7670"/>
    <x v="14"/>
    <n v="89"/>
    <x v="3"/>
    <x v="105"/>
    <n v="129"/>
    <n v="4"/>
    <n v="2023"/>
    <x v="6"/>
    <x v="0"/>
    <x v="2"/>
  </r>
  <r>
    <s v="Call_7671"/>
    <x v="6"/>
    <n v="84"/>
    <x v="0"/>
    <x v="105"/>
    <n v="156"/>
    <n v="3.2"/>
    <n v="2023"/>
    <x v="6"/>
    <x v="0"/>
    <x v="1"/>
  </r>
  <r>
    <s v="Call_7672"/>
    <x v="8"/>
    <n v="130"/>
    <x v="2"/>
    <x v="106"/>
    <n v="120"/>
    <n v="3.8"/>
    <n v="2023"/>
    <x v="0"/>
    <x v="1"/>
    <x v="2"/>
  </r>
  <r>
    <s v="Call_7673"/>
    <x v="3"/>
    <n v="163"/>
    <x v="3"/>
    <x v="106"/>
    <n v="62"/>
    <n v="3.4"/>
    <n v="2023"/>
    <x v="0"/>
    <x v="1"/>
    <x v="1"/>
  </r>
  <r>
    <s v="Call_7674"/>
    <x v="9"/>
    <n v="127"/>
    <x v="2"/>
    <x v="106"/>
    <n v="160"/>
    <n v="3.2"/>
    <n v="2023"/>
    <x v="0"/>
    <x v="1"/>
    <x v="1"/>
  </r>
  <r>
    <s v="Call_7675"/>
    <x v="1"/>
    <n v="50"/>
    <x v="2"/>
    <x v="106"/>
    <n v="56"/>
    <n v="4.7"/>
    <n v="2023"/>
    <x v="0"/>
    <x v="2"/>
    <x v="0"/>
  </r>
  <r>
    <s v="Call_7676"/>
    <x v="5"/>
    <n v="88"/>
    <x v="4"/>
    <x v="106"/>
    <n v="72"/>
    <n v="4"/>
    <n v="2023"/>
    <x v="0"/>
    <x v="0"/>
    <x v="2"/>
  </r>
  <r>
    <s v="Call_7677"/>
    <x v="1"/>
    <n v="139"/>
    <x v="1"/>
    <x v="107"/>
    <n v="81"/>
    <n v="4.8"/>
    <n v="2023"/>
    <x v="1"/>
    <x v="1"/>
    <x v="0"/>
  </r>
  <r>
    <s v="Call_7678"/>
    <x v="3"/>
    <n v="111"/>
    <x v="2"/>
    <x v="107"/>
    <n v="144"/>
    <n v="3.9"/>
    <n v="2023"/>
    <x v="1"/>
    <x v="0"/>
    <x v="2"/>
  </r>
  <r>
    <s v="Call_7679"/>
    <x v="2"/>
    <n v="115"/>
    <x v="1"/>
    <x v="107"/>
    <n v="111"/>
    <n v="4.3"/>
    <n v="2023"/>
    <x v="1"/>
    <x v="0"/>
    <x v="2"/>
  </r>
  <r>
    <s v="Call_7680"/>
    <x v="14"/>
    <n v="26"/>
    <x v="3"/>
    <x v="107"/>
    <n v="43"/>
    <n v="4.2"/>
    <n v="2023"/>
    <x v="1"/>
    <x v="3"/>
    <x v="2"/>
  </r>
  <r>
    <s v="Call_7681"/>
    <x v="6"/>
    <n v="131"/>
    <x v="4"/>
    <x v="107"/>
    <n v="41"/>
    <n v="4.9000000000000004"/>
    <n v="2023"/>
    <x v="1"/>
    <x v="1"/>
    <x v="0"/>
  </r>
  <r>
    <s v="Call_7682"/>
    <x v="2"/>
    <n v="27"/>
    <x v="4"/>
    <x v="107"/>
    <n v="74"/>
    <n v="4"/>
    <n v="2023"/>
    <x v="1"/>
    <x v="3"/>
    <x v="2"/>
  </r>
  <r>
    <s v="Call_7683"/>
    <x v="12"/>
    <n v="75"/>
    <x v="2"/>
    <x v="107"/>
    <n v="43"/>
    <n v="4.9000000000000004"/>
    <n v="2023"/>
    <x v="1"/>
    <x v="0"/>
    <x v="0"/>
  </r>
  <r>
    <s v="Call_7684"/>
    <x v="10"/>
    <n v="123"/>
    <x v="4"/>
    <x v="107"/>
    <n v="128"/>
    <n v="3.6"/>
    <n v="2023"/>
    <x v="1"/>
    <x v="1"/>
    <x v="2"/>
  </r>
  <r>
    <s v="Call_7685"/>
    <x v="0"/>
    <n v="129"/>
    <x v="4"/>
    <x v="108"/>
    <n v="144"/>
    <n v="4.0999999999999996"/>
    <n v="2023"/>
    <x v="2"/>
    <x v="1"/>
    <x v="2"/>
  </r>
  <r>
    <s v="Call_7686"/>
    <x v="12"/>
    <n v="124"/>
    <x v="1"/>
    <x v="108"/>
    <n v="132"/>
    <n v="4.9000000000000004"/>
    <n v="2023"/>
    <x v="2"/>
    <x v="1"/>
    <x v="0"/>
  </r>
  <r>
    <s v="Call_7687"/>
    <x v="2"/>
    <n v="108"/>
    <x v="1"/>
    <x v="108"/>
    <n v="180"/>
    <n v="3.9"/>
    <n v="2023"/>
    <x v="2"/>
    <x v="0"/>
    <x v="2"/>
  </r>
  <r>
    <s v="Call_7688"/>
    <x v="4"/>
    <n v="15"/>
    <x v="1"/>
    <x v="108"/>
    <n v="31"/>
    <n v="4.0999999999999996"/>
    <n v="2023"/>
    <x v="2"/>
    <x v="3"/>
    <x v="2"/>
  </r>
  <r>
    <s v="Call_7689"/>
    <x v="2"/>
    <n v="66"/>
    <x v="1"/>
    <x v="108"/>
    <n v="102"/>
    <n v="3.8"/>
    <n v="2023"/>
    <x v="2"/>
    <x v="0"/>
    <x v="2"/>
  </r>
  <r>
    <s v="Call_7690"/>
    <x v="5"/>
    <n v="126"/>
    <x v="2"/>
    <x v="109"/>
    <n v="175"/>
    <n v="4.8"/>
    <n v="2023"/>
    <x v="3"/>
    <x v="1"/>
    <x v="0"/>
  </r>
  <r>
    <s v="Call_7691"/>
    <x v="12"/>
    <n v="26"/>
    <x v="0"/>
    <x v="109"/>
    <n v="87"/>
    <n v="4.7"/>
    <n v="2023"/>
    <x v="3"/>
    <x v="3"/>
    <x v="0"/>
  </r>
  <r>
    <s v="Call_7692"/>
    <x v="8"/>
    <n v="105"/>
    <x v="2"/>
    <x v="109"/>
    <n v="66"/>
    <n v="4.2"/>
    <n v="2023"/>
    <x v="3"/>
    <x v="0"/>
    <x v="2"/>
  </r>
  <r>
    <s v="Call_7693"/>
    <x v="8"/>
    <n v="31"/>
    <x v="2"/>
    <x v="109"/>
    <n v="25"/>
    <n v="3.2"/>
    <n v="2023"/>
    <x v="3"/>
    <x v="2"/>
    <x v="1"/>
  </r>
  <r>
    <s v="Call_7694"/>
    <x v="2"/>
    <n v="109"/>
    <x v="1"/>
    <x v="109"/>
    <n v="126"/>
    <n v="3.4"/>
    <n v="2023"/>
    <x v="3"/>
    <x v="0"/>
    <x v="1"/>
  </r>
  <r>
    <s v="Call_7695"/>
    <x v="0"/>
    <n v="113"/>
    <x v="3"/>
    <x v="110"/>
    <n v="42"/>
    <n v="4.5999999999999996"/>
    <n v="2023"/>
    <x v="4"/>
    <x v="0"/>
    <x v="0"/>
  </r>
  <r>
    <s v="Call_7696"/>
    <x v="5"/>
    <n v="101"/>
    <x v="0"/>
    <x v="110"/>
    <n v="225"/>
    <n v="1.9"/>
    <n v="2023"/>
    <x v="4"/>
    <x v="0"/>
    <x v="3"/>
  </r>
  <r>
    <s v="Call_7697"/>
    <x v="3"/>
    <n v="156"/>
    <x v="0"/>
    <x v="110"/>
    <n v="42"/>
    <n v="3.3"/>
    <n v="2023"/>
    <x v="4"/>
    <x v="1"/>
    <x v="1"/>
  </r>
  <r>
    <s v="Call_7698"/>
    <x v="2"/>
    <n v="145"/>
    <x v="3"/>
    <x v="111"/>
    <n v="110"/>
    <n v="3.1"/>
    <n v="2023"/>
    <x v="5"/>
    <x v="1"/>
    <x v="1"/>
  </r>
  <r>
    <s v="Call_7699"/>
    <x v="10"/>
    <n v="36"/>
    <x v="1"/>
    <x v="111"/>
    <n v="225"/>
    <n v="4.8"/>
    <n v="2023"/>
    <x v="5"/>
    <x v="2"/>
    <x v="0"/>
  </r>
  <r>
    <s v="Call_7700"/>
    <x v="8"/>
    <n v="135"/>
    <x v="4"/>
    <x v="112"/>
    <n v="125"/>
    <n v="3.3"/>
    <n v="2023"/>
    <x v="6"/>
    <x v="1"/>
    <x v="1"/>
  </r>
  <r>
    <s v="Call_7701"/>
    <x v="5"/>
    <n v="81"/>
    <x v="1"/>
    <x v="112"/>
    <n v="78"/>
    <n v="2.9"/>
    <n v="2023"/>
    <x v="6"/>
    <x v="0"/>
    <x v="1"/>
  </r>
  <r>
    <s v="Call_7702"/>
    <x v="5"/>
    <n v="81"/>
    <x v="3"/>
    <x v="112"/>
    <n v="40"/>
    <n v="2.4"/>
    <n v="2023"/>
    <x v="6"/>
    <x v="0"/>
    <x v="3"/>
  </r>
  <r>
    <s v="Call_7703"/>
    <x v="9"/>
    <n v="93"/>
    <x v="2"/>
    <x v="112"/>
    <n v="150"/>
    <n v="4.5999999999999996"/>
    <n v="2023"/>
    <x v="6"/>
    <x v="0"/>
    <x v="0"/>
  </r>
  <r>
    <s v="Call_7704"/>
    <x v="2"/>
    <n v="14"/>
    <x v="1"/>
    <x v="112"/>
    <n v="96"/>
    <n v="4.8"/>
    <n v="2023"/>
    <x v="6"/>
    <x v="3"/>
    <x v="0"/>
  </r>
  <r>
    <s v="Call_7705"/>
    <x v="8"/>
    <n v="95"/>
    <x v="3"/>
    <x v="113"/>
    <n v="75"/>
    <n v="4.8"/>
    <n v="2023"/>
    <x v="0"/>
    <x v="0"/>
    <x v="0"/>
  </r>
  <r>
    <s v="Call_7706"/>
    <x v="9"/>
    <n v="81"/>
    <x v="3"/>
    <x v="113"/>
    <n v="60"/>
    <n v="3.6"/>
    <n v="2023"/>
    <x v="0"/>
    <x v="0"/>
    <x v="2"/>
  </r>
  <r>
    <s v="Call_7707"/>
    <x v="14"/>
    <n v="60"/>
    <x v="1"/>
    <x v="114"/>
    <n v="41"/>
    <n v="4.8"/>
    <n v="2023"/>
    <x v="1"/>
    <x v="0"/>
    <x v="0"/>
  </r>
  <r>
    <s v="Call_7708"/>
    <x v="7"/>
    <n v="137"/>
    <x v="2"/>
    <x v="114"/>
    <n v="20"/>
    <n v="4.2"/>
    <n v="2023"/>
    <x v="1"/>
    <x v="1"/>
    <x v="2"/>
  </r>
  <r>
    <s v="Call_7709"/>
    <x v="1"/>
    <n v="112"/>
    <x v="4"/>
    <x v="114"/>
    <n v="84"/>
    <n v="2.6"/>
    <n v="2023"/>
    <x v="1"/>
    <x v="0"/>
    <x v="1"/>
  </r>
  <r>
    <s v="Call_7710"/>
    <x v="8"/>
    <n v="76"/>
    <x v="0"/>
    <x v="114"/>
    <n v="140"/>
    <n v="3.7"/>
    <n v="2023"/>
    <x v="1"/>
    <x v="0"/>
    <x v="2"/>
  </r>
  <r>
    <s v="Call_7711"/>
    <x v="11"/>
    <n v="73"/>
    <x v="1"/>
    <x v="114"/>
    <n v="66"/>
    <n v="4.8"/>
    <n v="2023"/>
    <x v="1"/>
    <x v="0"/>
    <x v="0"/>
  </r>
  <r>
    <s v="Call_7712"/>
    <x v="6"/>
    <n v="119"/>
    <x v="2"/>
    <x v="114"/>
    <n v="105"/>
    <n v="4.7"/>
    <n v="2023"/>
    <x v="1"/>
    <x v="0"/>
    <x v="0"/>
  </r>
  <r>
    <s v="Call_7713"/>
    <x v="0"/>
    <n v="135"/>
    <x v="3"/>
    <x v="115"/>
    <n v="104"/>
    <n v="4.0999999999999996"/>
    <n v="2023"/>
    <x v="2"/>
    <x v="1"/>
    <x v="2"/>
  </r>
  <r>
    <s v="Call_7714"/>
    <x v="7"/>
    <n v="41"/>
    <x v="4"/>
    <x v="115"/>
    <n v="123"/>
    <n v="3.2"/>
    <n v="2023"/>
    <x v="2"/>
    <x v="2"/>
    <x v="1"/>
  </r>
  <r>
    <s v="Call_7715"/>
    <x v="2"/>
    <n v="35"/>
    <x v="3"/>
    <x v="116"/>
    <n v="215"/>
    <n v="4.3"/>
    <n v="2023"/>
    <x v="3"/>
    <x v="2"/>
    <x v="2"/>
  </r>
  <r>
    <s v="Call_7716"/>
    <x v="0"/>
    <n v="96"/>
    <x v="1"/>
    <x v="116"/>
    <n v="46"/>
    <n v="0.7"/>
    <n v="2023"/>
    <x v="3"/>
    <x v="0"/>
    <x v="5"/>
  </r>
  <r>
    <s v="Call_7717"/>
    <x v="9"/>
    <n v="61"/>
    <x v="4"/>
    <x v="116"/>
    <n v="115"/>
    <n v="3.7"/>
    <n v="2023"/>
    <x v="3"/>
    <x v="0"/>
    <x v="2"/>
  </r>
  <r>
    <s v="Call_7718"/>
    <x v="0"/>
    <n v="91"/>
    <x v="4"/>
    <x v="116"/>
    <n v="124"/>
    <n v="3.9"/>
    <n v="2023"/>
    <x v="3"/>
    <x v="0"/>
    <x v="2"/>
  </r>
  <r>
    <s v="Call_7719"/>
    <x v="13"/>
    <n v="30"/>
    <x v="4"/>
    <x v="117"/>
    <n v="205"/>
    <n v="4.5"/>
    <n v="2023"/>
    <x v="4"/>
    <x v="2"/>
    <x v="0"/>
  </r>
  <r>
    <s v="Call_7720"/>
    <x v="14"/>
    <n v="111"/>
    <x v="2"/>
    <x v="117"/>
    <n v="90"/>
    <n v="2.8"/>
    <n v="2023"/>
    <x v="4"/>
    <x v="0"/>
    <x v="1"/>
  </r>
  <r>
    <s v="Call_7721"/>
    <x v="9"/>
    <n v="81"/>
    <x v="1"/>
    <x v="117"/>
    <n v="92"/>
    <n v="4.9000000000000004"/>
    <n v="2023"/>
    <x v="4"/>
    <x v="0"/>
    <x v="0"/>
  </r>
  <r>
    <s v="Call_7722"/>
    <x v="8"/>
    <n v="40"/>
    <x v="3"/>
    <x v="118"/>
    <n v="108"/>
    <n v="4.2"/>
    <n v="2023"/>
    <x v="6"/>
    <x v="2"/>
    <x v="2"/>
  </r>
  <r>
    <s v="Call_7723"/>
    <x v="14"/>
    <n v="143"/>
    <x v="3"/>
    <x v="118"/>
    <n v="54"/>
    <n v="4.4000000000000004"/>
    <n v="2023"/>
    <x v="6"/>
    <x v="1"/>
    <x v="2"/>
  </r>
  <r>
    <s v="Call_7724"/>
    <x v="8"/>
    <n v="70"/>
    <x v="3"/>
    <x v="119"/>
    <n v="44"/>
    <n v="3.5"/>
    <n v="2023"/>
    <x v="0"/>
    <x v="0"/>
    <x v="2"/>
  </r>
  <r>
    <s v="Call_7725"/>
    <x v="11"/>
    <n v="137"/>
    <x v="3"/>
    <x v="119"/>
    <n v="44"/>
    <n v="4.7"/>
    <n v="2023"/>
    <x v="0"/>
    <x v="1"/>
    <x v="0"/>
  </r>
  <r>
    <s v="Call_7726"/>
    <x v="0"/>
    <n v="52"/>
    <x v="1"/>
    <x v="120"/>
    <n v="37"/>
    <n v="4.9000000000000004"/>
    <n v="2023"/>
    <x v="1"/>
    <x v="2"/>
    <x v="0"/>
  </r>
  <r>
    <s v="Call_7727"/>
    <x v="1"/>
    <n v="31"/>
    <x v="2"/>
    <x v="120"/>
    <n v="180"/>
    <n v="4.5"/>
    <n v="2023"/>
    <x v="1"/>
    <x v="2"/>
    <x v="0"/>
  </r>
  <r>
    <s v="Call_7728"/>
    <x v="0"/>
    <n v="114"/>
    <x v="4"/>
    <x v="120"/>
    <n v="105"/>
    <n v="4.9000000000000004"/>
    <n v="2023"/>
    <x v="1"/>
    <x v="0"/>
    <x v="0"/>
  </r>
  <r>
    <s v="Call_7729"/>
    <x v="11"/>
    <n v="73"/>
    <x v="0"/>
    <x v="120"/>
    <n v="87"/>
    <n v="3.6"/>
    <n v="2023"/>
    <x v="1"/>
    <x v="0"/>
    <x v="2"/>
  </r>
  <r>
    <s v="Call_7730"/>
    <x v="9"/>
    <n v="25"/>
    <x v="2"/>
    <x v="120"/>
    <n v="52"/>
    <n v="3.8"/>
    <n v="2023"/>
    <x v="1"/>
    <x v="3"/>
    <x v="2"/>
  </r>
  <r>
    <s v="Call_7731"/>
    <x v="4"/>
    <n v="44"/>
    <x v="4"/>
    <x v="120"/>
    <n v="63"/>
    <n v="3.5"/>
    <n v="2023"/>
    <x v="1"/>
    <x v="2"/>
    <x v="2"/>
  </r>
  <r>
    <s v="Call_7732"/>
    <x v="10"/>
    <n v="34"/>
    <x v="1"/>
    <x v="121"/>
    <n v="195"/>
    <n v="4.8"/>
    <n v="2023"/>
    <x v="2"/>
    <x v="2"/>
    <x v="0"/>
  </r>
  <r>
    <s v="Call_7733"/>
    <x v="14"/>
    <n v="89"/>
    <x v="3"/>
    <x v="122"/>
    <n v="176"/>
    <n v="4.5"/>
    <n v="2023"/>
    <x v="3"/>
    <x v="0"/>
    <x v="0"/>
  </r>
  <r>
    <s v="Call_7734"/>
    <x v="6"/>
    <n v="54"/>
    <x v="2"/>
    <x v="123"/>
    <n v="31"/>
    <n v="3.3"/>
    <n v="2023"/>
    <x v="4"/>
    <x v="2"/>
    <x v="1"/>
  </r>
  <r>
    <s v="Call_7735"/>
    <x v="2"/>
    <n v="25"/>
    <x v="2"/>
    <x v="124"/>
    <n v="27"/>
    <n v="3.2"/>
    <n v="2023"/>
    <x v="5"/>
    <x v="3"/>
    <x v="1"/>
  </r>
  <r>
    <s v="Call_7736"/>
    <x v="7"/>
    <n v="91"/>
    <x v="3"/>
    <x v="124"/>
    <n v="76"/>
    <n v="4.9000000000000004"/>
    <n v="2023"/>
    <x v="5"/>
    <x v="0"/>
    <x v="0"/>
  </r>
  <r>
    <s v="Call_7737"/>
    <x v="4"/>
    <n v="144"/>
    <x v="4"/>
    <x v="124"/>
    <n v="62"/>
    <n v="4.8"/>
    <n v="2023"/>
    <x v="5"/>
    <x v="1"/>
    <x v="0"/>
  </r>
  <r>
    <s v="Call_7738"/>
    <x v="7"/>
    <n v="81"/>
    <x v="1"/>
    <x v="125"/>
    <n v="100"/>
    <n v="1.3"/>
    <n v="2023"/>
    <x v="0"/>
    <x v="0"/>
    <x v="5"/>
  </r>
  <r>
    <s v="Call_7739"/>
    <x v="13"/>
    <n v="92"/>
    <x v="2"/>
    <x v="125"/>
    <n v="44"/>
    <n v="3.1"/>
    <n v="2023"/>
    <x v="0"/>
    <x v="0"/>
    <x v="1"/>
  </r>
  <r>
    <s v="Call_7740"/>
    <x v="2"/>
    <n v="115"/>
    <x v="3"/>
    <x v="125"/>
    <n v="168"/>
    <n v="3.4"/>
    <n v="2023"/>
    <x v="0"/>
    <x v="0"/>
    <x v="1"/>
  </r>
  <r>
    <s v="Call_7741"/>
    <x v="5"/>
    <n v="56"/>
    <x v="3"/>
    <x v="126"/>
    <n v="200"/>
    <n v="4.5999999999999996"/>
    <n v="2023"/>
    <x v="1"/>
    <x v="2"/>
    <x v="0"/>
  </r>
  <r>
    <s v="Call_7742"/>
    <x v="1"/>
    <n v="154"/>
    <x v="2"/>
    <x v="126"/>
    <n v="84"/>
    <n v="4.3"/>
    <n v="2023"/>
    <x v="1"/>
    <x v="1"/>
    <x v="2"/>
  </r>
  <r>
    <s v="Call_7743"/>
    <x v="14"/>
    <n v="51"/>
    <x v="3"/>
    <x v="127"/>
    <n v="117"/>
    <n v="2.7"/>
    <n v="2023"/>
    <x v="2"/>
    <x v="2"/>
    <x v="1"/>
  </r>
  <r>
    <s v="Call_7744"/>
    <x v="10"/>
    <n v="21"/>
    <x v="1"/>
    <x v="127"/>
    <n v="63"/>
    <n v="4.2"/>
    <n v="2023"/>
    <x v="2"/>
    <x v="3"/>
    <x v="2"/>
  </r>
  <r>
    <s v="Call_7745"/>
    <x v="2"/>
    <n v="80"/>
    <x v="3"/>
    <x v="128"/>
    <n v="145"/>
    <n v="4.9000000000000004"/>
    <n v="2023"/>
    <x v="3"/>
    <x v="0"/>
    <x v="0"/>
  </r>
  <r>
    <s v="Call_7746"/>
    <x v="14"/>
    <n v="139"/>
    <x v="2"/>
    <x v="128"/>
    <n v="220"/>
    <n v="3.2"/>
    <n v="2023"/>
    <x v="3"/>
    <x v="1"/>
    <x v="1"/>
  </r>
  <r>
    <s v="Call_7747"/>
    <x v="8"/>
    <n v="50"/>
    <x v="1"/>
    <x v="128"/>
    <n v="26"/>
    <n v="4.7"/>
    <n v="2023"/>
    <x v="3"/>
    <x v="2"/>
    <x v="0"/>
  </r>
  <r>
    <s v="Call_7748"/>
    <x v="2"/>
    <n v="88"/>
    <x v="3"/>
    <x v="128"/>
    <n v="78"/>
    <n v="4.3"/>
    <n v="2023"/>
    <x v="3"/>
    <x v="0"/>
    <x v="2"/>
  </r>
  <r>
    <s v="Call_7749"/>
    <x v="6"/>
    <n v="19"/>
    <x v="4"/>
    <x v="129"/>
    <n v="132"/>
    <n v="4.3"/>
    <n v="2023"/>
    <x v="4"/>
    <x v="3"/>
    <x v="2"/>
  </r>
  <r>
    <s v="Call_7750"/>
    <x v="9"/>
    <n v="104"/>
    <x v="4"/>
    <x v="130"/>
    <n v="68"/>
    <n v="3.7"/>
    <n v="2023"/>
    <x v="5"/>
    <x v="0"/>
    <x v="2"/>
  </r>
  <r>
    <s v="Call_7751"/>
    <x v="1"/>
    <n v="67"/>
    <x v="2"/>
    <x v="131"/>
    <n v="129"/>
    <n v="4.7"/>
    <n v="2023"/>
    <x v="0"/>
    <x v="0"/>
    <x v="0"/>
  </r>
  <r>
    <s v="Call_7752"/>
    <x v="12"/>
    <n v="107"/>
    <x v="4"/>
    <x v="131"/>
    <n v="115"/>
    <n v="4.9000000000000004"/>
    <n v="2023"/>
    <x v="0"/>
    <x v="0"/>
    <x v="0"/>
  </r>
  <r>
    <s v="Call_7753"/>
    <x v="12"/>
    <n v="93"/>
    <x v="4"/>
    <x v="131"/>
    <n v="128"/>
    <n v="3.9"/>
    <n v="2023"/>
    <x v="0"/>
    <x v="0"/>
    <x v="2"/>
  </r>
  <r>
    <s v="Call_7754"/>
    <x v="12"/>
    <n v="117"/>
    <x v="2"/>
    <x v="131"/>
    <n v="90"/>
    <n v="4.5"/>
    <n v="2023"/>
    <x v="0"/>
    <x v="0"/>
    <x v="0"/>
  </r>
  <r>
    <s v="Call_7755"/>
    <x v="8"/>
    <n v="76"/>
    <x v="3"/>
    <x v="132"/>
    <n v="39"/>
    <n v="4.5999999999999996"/>
    <n v="2023"/>
    <x v="1"/>
    <x v="0"/>
    <x v="0"/>
  </r>
  <r>
    <s v="Call_7756"/>
    <x v="6"/>
    <n v="64"/>
    <x v="4"/>
    <x v="132"/>
    <n v="132"/>
    <n v="3.3"/>
    <n v="2023"/>
    <x v="1"/>
    <x v="0"/>
    <x v="1"/>
  </r>
  <r>
    <s v="Call_7757"/>
    <x v="4"/>
    <n v="33"/>
    <x v="4"/>
    <x v="132"/>
    <n v="170"/>
    <n v="3.8"/>
    <n v="2023"/>
    <x v="1"/>
    <x v="2"/>
    <x v="2"/>
  </r>
  <r>
    <s v="Call_7758"/>
    <x v="12"/>
    <n v="115"/>
    <x v="2"/>
    <x v="132"/>
    <n v="42"/>
    <n v="4.7"/>
    <n v="2023"/>
    <x v="1"/>
    <x v="0"/>
    <x v="0"/>
  </r>
  <r>
    <s v="Call_7759"/>
    <x v="3"/>
    <n v="155"/>
    <x v="3"/>
    <x v="133"/>
    <n v="37"/>
    <n v="4"/>
    <n v="2023"/>
    <x v="2"/>
    <x v="1"/>
    <x v="2"/>
  </r>
  <r>
    <s v="Call_7760"/>
    <x v="1"/>
    <n v="117"/>
    <x v="3"/>
    <x v="133"/>
    <n v="88"/>
    <n v="4.7"/>
    <n v="2023"/>
    <x v="2"/>
    <x v="0"/>
    <x v="0"/>
  </r>
  <r>
    <s v="Call_7761"/>
    <x v="14"/>
    <n v="63"/>
    <x v="3"/>
    <x v="133"/>
    <n v="80"/>
    <n v="2.5"/>
    <n v="2023"/>
    <x v="2"/>
    <x v="0"/>
    <x v="1"/>
  </r>
  <r>
    <s v="Call_7762"/>
    <x v="6"/>
    <n v="59"/>
    <x v="0"/>
    <x v="134"/>
    <n v="123"/>
    <n v="3.6"/>
    <n v="2023"/>
    <x v="3"/>
    <x v="2"/>
    <x v="2"/>
  </r>
  <r>
    <s v="Call_7763"/>
    <x v="10"/>
    <n v="133"/>
    <x v="4"/>
    <x v="134"/>
    <n v="31"/>
    <n v="3.7"/>
    <n v="2023"/>
    <x v="3"/>
    <x v="1"/>
    <x v="2"/>
  </r>
  <r>
    <s v="Call_7764"/>
    <x v="13"/>
    <n v="101"/>
    <x v="1"/>
    <x v="134"/>
    <n v="205"/>
    <n v="3.9"/>
    <n v="2023"/>
    <x v="3"/>
    <x v="0"/>
    <x v="2"/>
  </r>
  <r>
    <s v="Call_7765"/>
    <x v="7"/>
    <n v="151"/>
    <x v="3"/>
    <x v="135"/>
    <n v="123"/>
    <n v="3.7"/>
    <n v="2023"/>
    <x v="4"/>
    <x v="1"/>
    <x v="2"/>
  </r>
  <r>
    <s v="Call_7766"/>
    <x v="4"/>
    <n v="146"/>
    <x v="4"/>
    <x v="135"/>
    <n v="123"/>
    <n v="4.3"/>
    <n v="2023"/>
    <x v="4"/>
    <x v="1"/>
    <x v="2"/>
  </r>
  <r>
    <s v="Call_7767"/>
    <x v="14"/>
    <n v="148"/>
    <x v="4"/>
    <x v="135"/>
    <n v="36"/>
    <n v="2.9"/>
    <n v="2023"/>
    <x v="4"/>
    <x v="1"/>
    <x v="1"/>
  </r>
  <r>
    <s v="Call_7768"/>
    <x v="7"/>
    <n v="81"/>
    <x v="4"/>
    <x v="135"/>
    <n v="116"/>
    <n v="4.3"/>
    <n v="2023"/>
    <x v="4"/>
    <x v="0"/>
    <x v="2"/>
  </r>
  <r>
    <s v="Call_7769"/>
    <x v="9"/>
    <n v="115"/>
    <x v="4"/>
    <x v="135"/>
    <n v="40"/>
    <n v="4.9000000000000004"/>
    <n v="2023"/>
    <x v="4"/>
    <x v="0"/>
    <x v="0"/>
  </r>
  <r>
    <s v="Call_7770"/>
    <x v="9"/>
    <n v="117"/>
    <x v="3"/>
    <x v="135"/>
    <n v="40"/>
    <n v="4"/>
    <n v="2023"/>
    <x v="4"/>
    <x v="0"/>
    <x v="2"/>
  </r>
  <r>
    <s v="Call_7771"/>
    <x v="13"/>
    <n v="110"/>
    <x v="2"/>
    <x v="136"/>
    <n v="82"/>
    <n v="4"/>
    <n v="2023"/>
    <x v="5"/>
    <x v="0"/>
    <x v="2"/>
  </r>
  <r>
    <s v="Call_7772"/>
    <x v="8"/>
    <n v="103"/>
    <x v="0"/>
    <x v="136"/>
    <n v="62"/>
    <n v="3.4"/>
    <n v="2023"/>
    <x v="5"/>
    <x v="0"/>
    <x v="1"/>
  </r>
  <r>
    <s v="Call_7773"/>
    <x v="3"/>
    <n v="45"/>
    <x v="0"/>
    <x v="136"/>
    <n v="135"/>
    <n v="3.9"/>
    <n v="2023"/>
    <x v="5"/>
    <x v="2"/>
    <x v="2"/>
  </r>
  <r>
    <s v="Call_7774"/>
    <x v="13"/>
    <n v="110"/>
    <x v="1"/>
    <x v="136"/>
    <n v="155"/>
    <n v="2.1"/>
    <n v="2023"/>
    <x v="5"/>
    <x v="0"/>
    <x v="3"/>
  </r>
  <r>
    <s v="Call_7775"/>
    <x v="6"/>
    <n v="43"/>
    <x v="2"/>
    <x v="136"/>
    <n v="37"/>
    <n v="4.9000000000000004"/>
    <n v="2023"/>
    <x v="5"/>
    <x v="2"/>
    <x v="0"/>
  </r>
  <r>
    <s v="Call_7776"/>
    <x v="13"/>
    <n v="104"/>
    <x v="3"/>
    <x v="137"/>
    <n v="56"/>
    <n v="3.4"/>
    <n v="2023"/>
    <x v="6"/>
    <x v="0"/>
    <x v="1"/>
  </r>
  <r>
    <s v="Call_7777"/>
    <x v="13"/>
    <n v="101"/>
    <x v="3"/>
    <x v="137"/>
    <n v="185"/>
    <n v="5"/>
    <n v="2023"/>
    <x v="6"/>
    <x v="0"/>
    <x v="0"/>
  </r>
  <r>
    <s v="Call_7778"/>
    <x v="0"/>
    <n v="55"/>
    <x v="2"/>
    <x v="138"/>
    <n v="145"/>
    <n v="4.5"/>
    <n v="2023"/>
    <x v="0"/>
    <x v="2"/>
    <x v="0"/>
  </r>
  <r>
    <s v="Call_7779"/>
    <x v="7"/>
    <n v="40"/>
    <x v="0"/>
    <x v="138"/>
    <n v="116"/>
    <n v="2.6"/>
    <n v="2023"/>
    <x v="0"/>
    <x v="2"/>
    <x v="1"/>
  </r>
  <r>
    <s v="Call_7780"/>
    <x v="6"/>
    <n v="122"/>
    <x v="4"/>
    <x v="138"/>
    <n v="45"/>
    <n v="4.2"/>
    <n v="2023"/>
    <x v="0"/>
    <x v="1"/>
    <x v="2"/>
  </r>
  <r>
    <s v="Call_7781"/>
    <x v="4"/>
    <n v="98"/>
    <x v="3"/>
    <x v="139"/>
    <n v="35"/>
    <n v="4.5"/>
    <n v="2023"/>
    <x v="1"/>
    <x v="0"/>
    <x v="0"/>
  </r>
  <r>
    <s v="Call_7782"/>
    <x v="9"/>
    <n v="110"/>
    <x v="0"/>
    <x v="139"/>
    <n v="100"/>
    <n v="4.4000000000000004"/>
    <n v="2023"/>
    <x v="1"/>
    <x v="0"/>
    <x v="2"/>
  </r>
  <r>
    <s v="Call_7783"/>
    <x v="9"/>
    <n v="62"/>
    <x v="2"/>
    <x v="140"/>
    <n v="125"/>
    <n v="3.5"/>
    <n v="2023"/>
    <x v="2"/>
    <x v="0"/>
    <x v="2"/>
  </r>
  <r>
    <s v="Call_7784"/>
    <x v="6"/>
    <n v="134"/>
    <x v="4"/>
    <x v="140"/>
    <n v="120"/>
    <n v="3"/>
    <n v="2023"/>
    <x v="2"/>
    <x v="1"/>
    <x v="1"/>
  </r>
  <r>
    <s v="Call_7785"/>
    <x v="11"/>
    <n v="94"/>
    <x v="1"/>
    <x v="140"/>
    <n v="180"/>
    <n v="4.7"/>
    <n v="2023"/>
    <x v="2"/>
    <x v="0"/>
    <x v="0"/>
  </r>
  <r>
    <s v="Call_7786"/>
    <x v="5"/>
    <n v="63"/>
    <x v="0"/>
    <x v="140"/>
    <n v="44"/>
    <n v="3"/>
    <n v="2023"/>
    <x v="2"/>
    <x v="0"/>
    <x v="1"/>
  </r>
  <r>
    <s v="Call_7787"/>
    <x v="10"/>
    <n v="95"/>
    <x v="4"/>
    <x v="140"/>
    <n v="86"/>
    <n v="3.6"/>
    <n v="2023"/>
    <x v="2"/>
    <x v="0"/>
    <x v="2"/>
  </r>
  <r>
    <s v="Call_7788"/>
    <x v="6"/>
    <n v="106"/>
    <x v="4"/>
    <x v="141"/>
    <n v="120"/>
    <n v="4.0999999999999996"/>
    <n v="2023"/>
    <x v="3"/>
    <x v="0"/>
    <x v="2"/>
  </r>
  <r>
    <s v="Call_7789"/>
    <x v="3"/>
    <n v="94"/>
    <x v="1"/>
    <x v="141"/>
    <n v="100"/>
    <n v="3.7"/>
    <n v="2023"/>
    <x v="3"/>
    <x v="0"/>
    <x v="2"/>
  </r>
  <r>
    <s v="Call_7790"/>
    <x v="3"/>
    <n v="51"/>
    <x v="1"/>
    <x v="142"/>
    <n v="108"/>
    <n v="4.5"/>
    <n v="2024"/>
    <x v="4"/>
    <x v="2"/>
    <x v="0"/>
  </r>
  <r>
    <s v="Call_7791"/>
    <x v="14"/>
    <n v="39"/>
    <x v="1"/>
    <x v="142"/>
    <n v="46"/>
    <n v="4.5999999999999996"/>
    <n v="2024"/>
    <x v="4"/>
    <x v="2"/>
    <x v="0"/>
  </r>
  <r>
    <s v="Call_7792"/>
    <x v="7"/>
    <n v="111"/>
    <x v="4"/>
    <x v="142"/>
    <n v="210"/>
    <n v="4.3"/>
    <n v="2024"/>
    <x v="4"/>
    <x v="0"/>
    <x v="2"/>
  </r>
  <r>
    <s v="Call_7793"/>
    <x v="12"/>
    <n v="141"/>
    <x v="2"/>
    <x v="143"/>
    <n v="54"/>
    <n v="4.8"/>
    <n v="2024"/>
    <x v="6"/>
    <x v="1"/>
    <x v="0"/>
  </r>
  <r>
    <s v="Call_7794"/>
    <x v="5"/>
    <n v="147"/>
    <x v="4"/>
    <x v="143"/>
    <n v="115"/>
    <n v="4.7"/>
    <n v="2024"/>
    <x v="6"/>
    <x v="1"/>
    <x v="0"/>
  </r>
  <r>
    <s v="Call_7795"/>
    <x v="11"/>
    <n v="49"/>
    <x v="1"/>
    <x v="144"/>
    <n v="100"/>
    <n v="2.2000000000000002"/>
    <n v="2024"/>
    <x v="0"/>
    <x v="2"/>
    <x v="3"/>
  </r>
  <r>
    <s v="Call_7796"/>
    <x v="2"/>
    <n v="75"/>
    <x v="4"/>
    <x v="144"/>
    <n v="38"/>
    <n v="4.4000000000000004"/>
    <n v="2024"/>
    <x v="0"/>
    <x v="0"/>
    <x v="2"/>
  </r>
  <r>
    <s v="Call_7797"/>
    <x v="12"/>
    <n v="48"/>
    <x v="2"/>
    <x v="145"/>
    <n v="120"/>
    <n v="4.0999999999999996"/>
    <n v="2024"/>
    <x v="1"/>
    <x v="2"/>
    <x v="2"/>
  </r>
  <r>
    <s v="Call_7798"/>
    <x v="9"/>
    <n v="48"/>
    <x v="2"/>
    <x v="145"/>
    <n v="120"/>
    <n v="4.0999999999999996"/>
    <n v="2024"/>
    <x v="1"/>
    <x v="2"/>
    <x v="2"/>
  </r>
  <r>
    <s v="Call_7799"/>
    <x v="1"/>
    <n v="138"/>
    <x v="1"/>
    <x v="145"/>
    <n v="29"/>
    <n v="4.4000000000000004"/>
    <n v="2024"/>
    <x v="1"/>
    <x v="1"/>
    <x v="2"/>
  </r>
  <r>
    <s v="Call_7800"/>
    <x v="10"/>
    <n v="144"/>
    <x v="1"/>
    <x v="146"/>
    <n v="25"/>
    <n v="3.7"/>
    <n v="2024"/>
    <x v="2"/>
    <x v="1"/>
    <x v="2"/>
  </r>
  <r>
    <s v="Call_7801"/>
    <x v="13"/>
    <n v="119"/>
    <x v="4"/>
    <x v="147"/>
    <n v="116"/>
    <n v="3.8"/>
    <n v="2024"/>
    <x v="3"/>
    <x v="0"/>
    <x v="2"/>
  </r>
  <r>
    <s v="Call_7802"/>
    <x v="1"/>
    <n v="101"/>
    <x v="2"/>
    <x v="148"/>
    <n v="132"/>
    <n v="4.3"/>
    <n v="2024"/>
    <x v="4"/>
    <x v="0"/>
    <x v="2"/>
  </r>
  <r>
    <s v="Call_7803"/>
    <x v="10"/>
    <n v="59"/>
    <x v="4"/>
    <x v="149"/>
    <n v="90"/>
    <n v="3.5"/>
    <n v="2024"/>
    <x v="5"/>
    <x v="2"/>
    <x v="2"/>
  </r>
  <r>
    <s v="Call_7804"/>
    <x v="7"/>
    <n v="125"/>
    <x v="0"/>
    <x v="149"/>
    <n v="87"/>
    <n v="4.0999999999999996"/>
    <n v="2024"/>
    <x v="5"/>
    <x v="1"/>
    <x v="2"/>
  </r>
  <r>
    <s v="Call_7805"/>
    <x v="6"/>
    <n v="147"/>
    <x v="4"/>
    <x v="149"/>
    <n v="140"/>
    <n v="4.2"/>
    <n v="2024"/>
    <x v="5"/>
    <x v="1"/>
    <x v="2"/>
  </r>
  <r>
    <s v="Call_7806"/>
    <x v="8"/>
    <n v="76"/>
    <x v="4"/>
    <x v="149"/>
    <n v="164"/>
    <n v="4.5"/>
    <n v="2024"/>
    <x v="5"/>
    <x v="0"/>
    <x v="0"/>
  </r>
  <r>
    <s v="Call_7807"/>
    <x v="5"/>
    <n v="99"/>
    <x v="2"/>
    <x v="150"/>
    <n v="180"/>
    <n v="3.8"/>
    <n v="2024"/>
    <x v="6"/>
    <x v="0"/>
    <x v="2"/>
  </r>
  <r>
    <s v="Call_7808"/>
    <x v="14"/>
    <n v="111"/>
    <x v="3"/>
    <x v="151"/>
    <n v="22"/>
    <n v="4.0999999999999996"/>
    <n v="2024"/>
    <x v="0"/>
    <x v="0"/>
    <x v="2"/>
  </r>
  <r>
    <s v="Call_7809"/>
    <x v="4"/>
    <n v="147"/>
    <x v="0"/>
    <x v="151"/>
    <n v="82"/>
    <n v="4.4000000000000004"/>
    <n v="2024"/>
    <x v="0"/>
    <x v="1"/>
    <x v="2"/>
  </r>
  <r>
    <s v="Call_7810"/>
    <x v="0"/>
    <n v="141"/>
    <x v="2"/>
    <x v="151"/>
    <n v="100"/>
    <n v="4.5999999999999996"/>
    <n v="2024"/>
    <x v="0"/>
    <x v="1"/>
    <x v="0"/>
  </r>
  <r>
    <s v="Call_7811"/>
    <x v="8"/>
    <n v="71"/>
    <x v="4"/>
    <x v="152"/>
    <n v="52"/>
    <n v="3.4"/>
    <n v="2024"/>
    <x v="1"/>
    <x v="0"/>
    <x v="1"/>
  </r>
  <r>
    <s v="Call_7812"/>
    <x v="8"/>
    <n v="121"/>
    <x v="0"/>
    <x v="153"/>
    <n v="84"/>
    <n v="4.5999999999999996"/>
    <n v="2024"/>
    <x v="2"/>
    <x v="1"/>
    <x v="0"/>
  </r>
  <r>
    <s v="Call_7813"/>
    <x v="8"/>
    <n v="60"/>
    <x v="0"/>
    <x v="153"/>
    <n v="37"/>
    <n v="3.9"/>
    <n v="2024"/>
    <x v="2"/>
    <x v="0"/>
    <x v="2"/>
  </r>
  <r>
    <s v="Call_7814"/>
    <x v="11"/>
    <n v="158"/>
    <x v="2"/>
    <x v="154"/>
    <n v="190"/>
    <n v="4"/>
    <n v="2024"/>
    <x v="3"/>
    <x v="1"/>
    <x v="2"/>
  </r>
  <r>
    <s v="Call_7815"/>
    <x v="6"/>
    <n v="159"/>
    <x v="1"/>
    <x v="154"/>
    <n v="66"/>
    <n v="3.4"/>
    <n v="2024"/>
    <x v="3"/>
    <x v="1"/>
    <x v="1"/>
  </r>
  <r>
    <s v="Call_7816"/>
    <x v="1"/>
    <n v="70"/>
    <x v="4"/>
    <x v="155"/>
    <n v="116"/>
    <n v="3.2"/>
    <n v="2024"/>
    <x v="4"/>
    <x v="0"/>
    <x v="1"/>
  </r>
  <r>
    <s v="Call_7817"/>
    <x v="12"/>
    <n v="78"/>
    <x v="3"/>
    <x v="155"/>
    <n v="28"/>
    <n v="3.9"/>
    <n v="2024"/>
    <x v="4"/>
    <x v="0"/>
    <x v="2"/>
  </r>
  <r>
    <s v="Call_7818"/>
    <x v="4"/>
    <n v="103"/>
    <x v="4"/>
    <x v="155"/>
    <n v="120"/>
    <n v="5"/>
    <n v="2024"/>
    <x v="4"/>
    <x v="0"/>
    <x v="0"/>
  </r>
  <r>
    <s v="Call_7819"/>
    <x v="2"/>
    <n v="108"/>
    <x v="2"/>
    <x v="155"/>
    <n v="56"/>
    <n v="3.5"/>
    <n v="2024"/>
    <x v="4"/>
    <x v="0"/>
    <x v="2"/>
  </r>
  <r>
    <s v="Call_7820"/>
    <x v="2"/>
    <n v="44"/>
    <x v="0"/>
    <x v="155"/>
    <n v="170"/>
    <n v="3.8"/>
    <n v="2024"/>
    <x v="4"/>
    <x v="2"/>
    <x v="2"/>
  </r>
  <r>
    <s v="Call_7821"/>
    <x v="12"/>
    <n v="127"/>
    <x v="2"/>
    <x v="156"/>
    <n v="200"/>
    <n v="4.8"/>
    <n v="2024"/>
    <x v="5"/>
    <x v="1"/>
    <x v="0"/>
  </r>
  <r>
    <s v="Call_7822"/>
    <x v="4"/>
    <n v="132"/>
    <x v="4"/>
    <x v="157"/>
    <n v="50"/>
    <n v="4.2"/>
    <n v="2024"/>
    <x v="6"/>
    <x v="1"/>
    <x v="2"/>
  </r>
  <r>
    <s v="Call_7823"/>
    <x v="0"/>
    <n v="106"/>
    <x v="3"/>
    <x v="157"/>
    <n v="112"/>
    <n v="3.7"/>
    <n v="2024"/>
    <x v="6"/>
    <x v="0"/>
    <x v="2"/>
  </r>
  <r>
    <s v="Call_7824"/>
    <x v="14"/>
    <n v="107"/>
    <x v="4"/>
    <x v="158"/>
    <n v="39"/>
    <n v="4.8"/>
    <n v="2024"/>
    <x v="0"/>
    <x v="0"/>
    <x v="0"/>
  </r>
  <r>
    <s v="Call_7825"/>
    <x v="6"/>
    <n v="85"/>
    <x v="3"/>
    <x v="158"/>
    <n v="38"/>
    <n v="4.8"/>
    <n v="2024"/>
    <x v="0"/>
    <x v="0"/>
    <x v="0"/>
  </r>
  <r>
    <s v="Call_7826"/>
    <x v="5"/>
    <n v="49"/>
    <x v="4"/>
    <x v="159"/>
    <n v="84"/>
    <n v="2.9"/>
    <n v="2024"/>
    <x v="1"/>
    <x v="2"/>
    <x v="1"/>
  </r>
  <r>
    <s v="Call_7827"/>
    <x v="8"/>
    <n v="117"/>
    <x v="2"/>
    <x v="160"/>
    <n v="82"/>
    <n v="3.5"/>
    <n v="2024"/>
    <x v="2"/>
    <x v="0"/>
    <x v="2"/>
  </r>
  <r>
    <s v="Call_7828"/>
    <x v="14"/>
    <n v="136"/>
    <x v="3"/>
    <x v="160"/>
    <n v="37"/>
    <n v="0.9"/>
    <n v="2024"/>
    <x v="2"/>
    <x v="1"/>
    <x v="5"/>
  </r>
  <r>
    <s v="Call_7829"/>
    <x v="2"/>
    <n v="130"/>
    <x v="1"/>
    <x v="161"/>
    <n v="87"/>
    <n v="3.4"/>
    <n v="2024"/>
    <x v="3"/>
    <x v="1"/>
    <x v="1"/>
  </r>
  <r>
    <s v="Call_7830"/>
    <x v="2"/>
    <n v="73"/>
    <x v="1"/>
    <x v="161"/>
    <n v="75"/>
    <n v="2.7"/>
    <n v="2024"/>
    <x v="3"/>
    <x v="0"/>
    <x v="1"/>
  </r>
  <r>
    <s v="Call_7831"/>
    <x v="5"/>
    <n v="80"/>
    <x v="4"/>
    <x v="161"/>
    <n v="32"/>
    <n v="4.7"/>
    <n v="2024"/>
    <x v="3"/>
    <x v="0"/>
    <x v="0"/>
  </r>
  <r>
    <s v="Call_7832"/>
    <x v="13"/>
    <n v="44"/>
    <x v="2"/>
    <x v="161"/>
    <n v="33"/>
    <n v="3"/>
    <n v="2024"/>
    <x v="3"/>
    <x v="2"/>
    <x v="1"/>
  </r>
  <r>
    <s v="Call_7833"/>
    <x v="13"/>
    <n v="102"/>
    <x v="0"/>
    <x v="161"/>
    <n v="76"/>
    <n v="4.2"/>
    <n v="2024"/>
    <x v="3"/>
    <x v="0"/>
    <x v="2"/>
  </r>
  <r>
    <s v="Call_7834"/>
    <x v="11"/>
    <n v="74"/>
    <x v="0"/>
    <x v="161"/>
    <n v="117"/>
    <n v="4.8"/>
    <n v="2024"/>
    <x v="3"/>
    <x v="0"/>
    <x v="0"/>
  </r>
  <r>
    <s v="Call_7835"/>
    <x v="5"/>
    <n v="52"/>
    <x v="2"/>
    <x v="162"/>
    <n v="70"/>
    <n v="4.0999999999999996"/>
    <n v="2024"/>
    <x v="5"/>
    <x v="2"/>
    <x v="2"/>
  </r>
  <r>
    <s v="Call_7836"/>
    <x v="5"/>
    <n v="74"/>
    <x v="1"/>
    <x v="162"/>
    <n v="37"/>
    <n v="2.7"/>
    <n v="2024"/>
    <x v="5"/>
    <x v="0"/>
    <x v="1"/>
  </r>
  <r>
    <s v="Call_7837"/>
    <x v="2"/>
    <n v="96"/>
    <x v="0"/>
    <x v="162"/>
    <n v="46"/>
    <n v="2.9"/>
    <n v="2024"/>
    <x v="5"/>
    <x v="0"/>
    <x v="1"/>
  </r>
  <r>
    <s v="Call_7838"/>
    <x v="7"/>
    <n v="104"/>
    <x v="4"/>
    <x v="162"/>
    <n v="136"/>
    <n v="5"/>
    <n v="2024"/>
    <x v="5"/>
    <x v="0"/>
    <x v="0"/>
  </r>
  <r>
    <s v="Call_7839"/>
    <x v="2"/>
    <n v="123"/>
    <x v="0"/>
    <x v="163"/>
    <n v="44"/>
    <n v="4.5999999999999996"/>
    <n v="2024"/>
    <x v="6"/>
    <x v="1"/>
    <x v="0"/>
  </r>
  <r>
    <s v="Call_7840"/>
    <x v="9"/>
    <n v="100"/>
    <x v="3"/>
    <x v="163"/>
    <n v="69"/>
    <n v="3"/>
    <n v="2024"/>
    <x v="6"/>
    <x v="0"/>
    <x v="1"/>
  </r>
  <r>
    <s v="Call_7841"/>
    <x v="7"/>
    <n v="35"/>
    <x v="2"/>
    <x v="164"/>
    <n v="86"/>
    <n v="4.5999999999999996"/>
    <n v="2024"/>
    <x v="0"/>
    <x v="2"/>
    <x v="0"/>
  </r>
  <r>
    <s v="Call_7842"/>
    <x v="5"/>
    <n v="123"/>
    <x v="4"/>
    <x v="164"/>
    <n v="68"/>
    <n v="4.5"/>
    <n v="2024"/>
    <x v="0"/>
    <x v="1"/>
    <x v="0"/>
  </r>
  <r>
    <s v="Call_7843"/>
    <x v="8"/>
    <n v="133"/>
    <x v="2"/>
    <x v="165"/>
    <n v="21"/>
    <n v="3.7"/>
    <n v="2024"/>
    <x v="1"/>
    <x v="1"/>
    <x v="2"/>
  </r>
  <r>
    <s v="Call_7844"/>
    <x v="2"/>
    <n v="126"/>
    <x v="1"/>
    <x v="165"/>
    <n v="190"/>
    <n v="2.4"/>
    <n v="2024"/>
    <x v="1"/>
    <x v="1"/>
    <x v="3"/>
  </r>
  <r>
    <s v="Call_7845"/>
    <x v="5"/>
    <n v="39"/>
    <x v="0"/>
    <x v="165"/>
    <n v="176"/>
    <n v="4.3"/>
    <n v="2024"/>
    <x v="1"/>
    <x v="2"/>
    <x v="2"/>
  </r>
  <r>
    <s v="Call_7846"/>
    <x v="11"/>
    <n v="31"/>
    <x v="4"/>
    <x v="165"/>
    <n v="172"/>
    <n v="3.9"/>
    <n v="2024"/>
    <x v="1"/>
    <x v="2"/>
    <x v="2"/>
  </r>
  <r>
    <s v="Call_7847"/>
    <x v="4"/>
    <n v="25"/>
    <x v="2"/>
    <x v="165"/>
    <n v="84"/>
    <n v="4.5"/>
    <n v="2024"/>
    <x v="1"/>
    <x v="3"/>
    <x v="0"/>
  </r>
  <r>
    <s v="Call_7848"/>
    <x v="1"/>
    <n v="132"/>
    <x v="3"/>
    <x v="166"/>
    <n v="42"/>
    <n v="5"/>
    <n v="2024"/>
    <x v="2"/>
    <x v="1"/>
    <x v="0"/>
  </r>
  <r>
    <s v="Call_7849"/>
    <x v="7"/>
    <n v="63"/>
    <x v="1"/>
    <x v="166"/>
    <n v="70"/>
    <n v="1.6"/>
    <n v="2024"/>
    <x v="2"/>
    <x v="0"/>
    <x v="3"/>
  </r>
  <r>
    <s v="Call_7850"/>
    <x v="9"/>
    <n v="135"/>
    <x v="3"/>
    <x v="166"/>
    <n v="60"/>
    <n v="4.3"/>
    <n v="2024"/>
    <x v="2"/>
    <x v="1"/>
    <x v="2"/>
  </r>
  <r>
    <s v="Call_7851"/>
    <x v="6"/>
    <n v="101"/>
    <x v="1"/>
    <x v="166"/>
    <n v="84"/>
    <n v="3.5"/>
    <n v="2024"/>
    <x v="2"/>
    <x v="0"/>
    <x v="2"/>
  </r>
  <r>
    <s v="Call_7852"/>
    <x v="8"/>
    <n v="80"/>
    <x v="0"/>
    <x v="167"/>
    <n v="68"/>
    <n v="3.1"/>
    <n v="2024"/>
    <x v="3"/>
    <x v="0"/>
    <x v="1"/>
  </r>
  <r>
    <s v="Call_7853"/>
    <x v="13"/>
    <n v="28"/>
    <x v="0"/>
    <x v="167"/>
    <n v="44"/>
    <n v="2.9"/>
    <n v="2024"/>
    <x v="3"/>
    <x v="3"/>
    <x v="1"/>
  </r>
  <r>
    <s v="Call_7854"/>
    <x v="6"/>
    <n v="102"/>
    <x v="3"/>
    <x v="168"/>
    <n v="99"/>
    <n v="3.2"/>
    <n v="2024"/>
    <x v="4"/>
    <x v="0"/>
    <x v="1"/>
  </r>
  <r>
    <s v="Call_7855"/>
    <x v="7"/>
    <n v="60"/>
    <x v="3"/>
    <x v="169"/>
    <n v="66"/>
    <n v="3.2"/>
    <n v="2024"/>
    <x v="5"/>
    <x v="0"/>
    <x v="1"/>
  </r>
  <r>
    <s v="Call_7856"/>
    <x v="3"/>
    <n v="103"/>
    <x v="3"/>
    <x v="169"/>
    <n v="102"/>
    <n v="4.5"/>
    <n v="2024"/>
    <x v="5"/>
    <x v="0"/>
    <x v="0"/>
  </r>
  <r>
    <s v="Call_7857"/>
    <x v="8"/>
    <n v="90"/>
    <x v="0"/>
    <x v="170"/>
    <n v="129"/>
    <n v="3.9"/>
    <n v="2024"/>
    <x v="6"/>
    <x v="0"/>
    <x v="2"/>
  </r>
  <r>
    <s v="Call_7858"/>
    <x v="12"/>
    <n v="88"/>
    <x v="3"/>
    <x v="170"/>
    <n v="80"/>
    <n v="4.2"/>
    <n v="2024"/>
    <x v="6"/>
    <x v="0"/>
    <x v="2"/>
  </r>
  <r>
    <s v="Call_7859"/>
    <x v="3"/>
    <n v="37"/>
    <x v="3"/>
    <x v="170"/>
    <n v="54"/>
    <n v="1.8"/>
    <n v="2024"/>
    <x v="6"/>
    <x v="2"/>
    <x v="3"/>
  </r>
  <r>
    <s v="Call_7860"/>
    <x v="13"/>
    <n v="142"/>
    <x v="0"/>
    <x v="170"/>
    <n v="116"/>
    <n v="4.2"/>
    <n v="2024"/>
    <x v="6"/>
    <x v="1"/>
    <x v="2"/>
  </r>
  <r>
    <s v="Call_7861"/>
    <x v="13"/>
    <n v="153"/>
    <x v="2"/>
    <x v="170"/>
    <n v="102"/>
    <n v="3.1"/>
    <n v="2024"/>
    <x v="6"/>
    <x v="1"/>
    <x v="1"/>
  </r>
  <r>
    <s v="Call_7862"/>
    <x v="10"/>
    <n v="128"/>
    <x v="1"/>
    <x v="170"/>
    <n v="140"/>
    <n v="4.3"/>
    <n v="2024"/>
    <x v="6"/>
    <x v="1"/>
    <x v="2"/>
  </r>
  <r>
    <s v="Call_7863"/>
    <x v="7"/>
    <n v="110"/>
    <x v="1"/>
    <x v="171"/>
    <n v="104"/>
    <n v="4.4000000000000004"/>
    <n v="2024"/>
    <x v="0"/>
    <x v="0"/>
    <x v="2"/>
  </r>
  <r>
    <s v="Call_7864"/>
    <x v="10"/>
    <n v="139"/>
    <x v="3"/>
    <x v="171"/>
    <n v="81"/>
    <n v="4.4000000000000004"/>
    <n v="2024"/>
    <x v="0"/>
    <x v="1"/>
    <x v="2"/>
  </r>
  <r>
    <s v="Call_7865"/>
    <x v="6"/>
    <n v="109"/>
    <x v="4"/>
    <x v="172"/>
    <n v="140"/>
    <n v="2.4"/>
    <n v="2024"/>
    <x v="2"/>
    <x v="0"/>
    <x v="3"/>
  </r>
  <r>
    <s v="Call_7866"/>
    <x v="1"/>
    <n v="57"/>
    <x v="0"/>
    <x v="173"/>
    <n v="120"/>
    <n v="3.5"/>
    <n v="2024"/>
    <x v="3"/>
    <x v="2"/>
    <x v="2"/>
  </r>
  <r>
    <s v="Call_7867"/>
    <x v="6"/>
    <n v="68"/>
    <x v="3"/>
    <x v="173"/>
    <n v="41"/>
    <n v="3.1"/>
    <n v="2024"/>
    <x v="3"/>
    <x v="0"/>
    <x v="1"/>
  </r>
  <r>
    <s v="Call_7868"/>
    <x v="4"/>
    <n v="128"/>
    <x v="3"/>
    <x v="173"/>
    <n v="116"/>
    <n v="2.2999999999999998"/>
    <n v="2024"/>
    <x v="3"/>
    <x v="1"/>
    <x v="3"/>
  </r>
  <r>
    <s v="Call_7869"/>
    <x v="0"/>
    <n v="102"/>
    <x v="0"/>
    <x v="174"/>
    <n v="70"/>
    <n v="2.8"/>
    <n v="2024"/>
    <x v="4"/>
    <x v="0"/>
    <x v="1"/>
  </r>
  <r>
    <s v="Call_7870"/>
    <x v="10"/>
    <n v="52"/>
    <x v="2"/>
    <x v="174"/>
    <n v="42"/>
    <n v="4.5"/>
    <n v="2024"/>
    <x v="4"/>
    <x v="2"/>
    <x v="0"/>
  </r>
  <r>
    <s v="Call_7871"/>
    <x v="4"/>
    <n v="55"/>
    <x v="1"/>
    <x v="175"/>
    <n v="112"/>
    <n v="4.5"/>
    <n v="2024"/>
    <x v="5"/>
    <x v="2"/>
    <x v="0"/>
  </r>
  <r>
    <s v="Call_7872"/>
    <x v="3"/>
    <n v="107"/>
    <x v="3"/>
    <x v="175"/>
    <n v="20"/>
    <n v="4.5"/>
    <n v="2024"/>
    <x v="5"/>
    <x v="0"/>
    <x v="0"/>
  </r>
  <r>
    <s v="Call_7873"/>
    <x v="8"/>
    <n v="88"/>
    <x v="2"/>
    <x v="176"/>
    <n v="110"/>
    <n v="4.8"/>
    <n v="2024"/>
    <x v="6"/>
    <x v="0"/>
    <x v="0"/>
  </r>
  <r>
    <s v="Call_7874"/>
    <x v="5"/>
    <n v="49"/>
    <x v="2"/>
    <x v="176"/>
    <n v="39"/>
    <n v="4.5999999999999996"/>
    <n v="2024"/>
    <x v="6"/>
    <x v="2"/>
    <x v="0"/>
  </r>
  <r>
    <s v="Call_7875"/>
    <x v="8"/>
    <n v="72"/>
    <x v="0"/>
    <x v="176"/>
    <n v="76"/>
    <n v="4.5"/>
    <n v="2024"/>
    <x v="6"/>
    <x v="0"/>
    <x v="0"/>
  </r>
  <r>
    <s v="Call_7876"/>
    <x v="1"/>
    <n v="50"/>
    <x v="0"/>
    <x v="176"/>
    <n v="40"/>
    <n v="5"/>
    <n v="2024"/>
    <x v="6"/>
    <x v="2"/>
    <x v="0"/>
  </r>
  <r>
    <s v="Call_7877"/>
    <x v="8"/>
    <n v="52"/>
    <x v="3"/>
    <x v="176"/>
    <n v="42"/>
    <n v="4.8"/>
    <n v="2024"/>
    <x v="6"/>
    <x v="2"/>
    <x v="0"/>
  </r>
  <r>
    <s v="Call_7878"/>
    <x v="2"/>
    <n v="85"/>
    <x v="4"/>
    <x v="177"/>
    <n v="215"/>
    <n v="3.5"/>
    <n v="2024"/>
    <x v="0"/>
    <x v="0"/>
    <x v="2"/>
  </r>
  <r>
    <s v="Call_7879"/>
    <x v="9"/>
    <n v="98"/>
    <x v="4"/>
    <x v="178"/>
    <n v="130"/>
    <n v="3.4"/>
    <n v="2024"/>
    <x v="1"/>
    <x v="0"/>
    <x v="1"/>
  </r>
  <r>
    <s v="Call_7880"/>
    <x v="11"/>
    <n v="52"/>
    <x v="4"/>
    <x v="178"/>
    <n v="190"/>
    <n v="3.3"/>
    <n v="2024"/>
    <x v="1"/>
    <x v="2"/>
    <x v="1"/>
  </r>
  <r>
    <s v="Call_7881"/>
    <x v="4"/>
    <n v="154"/>
    <x v="2"/>
    <x v="178"/>
    <n v="164"/>
    <n v="4.9000000000000004"/>
    <n v="2024"/>
    <x v="1"/>
    <x v="1"/>
    <x v="0"/>
  </r>
  <r>
    <s v="Call_7882"/>
    <x v="14"/>
    <n v="131"/>
    <x v="1"/>
    <x v="179"/>
    <n v="76"/>
    <n v="4.5"/>
    <n v="2024"/>
    <x v="2"/>
    <x v="1"/>
    <x v="0"/>
  </r>
  <r>
    <s v="Call_7883"/>
    <x v="2"/>
    <n v="73"/>
    <x v="1"/>
    <x v="180"/>
    <n v="87"/>
    <n v="4.8"/>
    <n v="2024"/>
    <x v="3"/>
    <x v="0"/>
    <x v="0"/>
  </r>
  <r>
    <s v="Call_7884"/>
    <x v="7"/>
    <n v="45"/>
    <x v="4"/>
    <x v="180"/>
    <n v="84"/>
    <n v="4.8"/>
    <n v="2024"/>
    <x v="3"/>
    <x v="2"/>
    <x v="0"/>
  </r>
  <r>
    <s v="Call_7885"/>
    <x v="10"/>
    <n v="114"/>
    <x v="3"/>
    <x v="180"/>
    <n v="114"/>
    <n v="3.9"/>
    <n v="2024"/>
    <x v="3"/>
    <x v="0"/>
    <x v="2"/>
  </r>
  <r>
    <s v="Call_7886"/>
    <x v="9"/>
    <n v="69"/>
    <x v="1"/>
    <x v="181"/>
    <n v="56"/>
    <n v="3.9"/>
    <n v="2024"/>
    <x v="4"/>
    <x v="0"/>
    <x v="2"/>
  </r>
  <r>
    <s v="Call_7887"/>
    <x v="14"/>
    <n v="33"/>
    <x v="2"/>
    <x v="181"/>
    <n v="27"/>
    <n v="3.7"/>
    <n v="2024"/>
    <x v="4"/>
    <x v="2"/>
    <x v="2"/>
  </r>
  <r>
    <s v="Call_7888"/>
    <x v="1"/>
    <n v="31"/>
    <x v="0"/>
    <x v="182"/>
    <n v="84"/>
    <n v="4.8"/>
    <n v="2024"/>
    <x v="5"/>
    <x v="2"/>
    <x v="0"/>
  </r>
  <r>
    <s v="Call_7889"/>
    <x v="7"/>
    <n v="168"/>
    <x v="2"/>
    <x v="182"/>
    <n v="72"/>
    <n v="3.5"/>
    <n v="2024"/>
    <x v="5"/>
    <x v="1"/>
    <x v="2"/>
  </r>
  <r>
    <s v="Call_7890"/>
    <x v="2"/>
    <n v="111"/>
    <x v="3"/>
    <x v="183"/>
    <n v="126"/>
    <n v="4.2"/>
    <n v="2024"/>
    <x v="6"/>
    <x v="0"/>
    <x v="2"/>
  </r>
  <r>
    <s v="Call_7891"/>
    <x v="1"/>
    <n v="80"/>
    <x v="2"/>
    <x v="184"/>
    <n v="88"/>
    <n v="4.9000000000000004"/>
    <n v="2024"/>
    <x v="0"/>
    <x v="0"/>
    <x v="0"/>
  </r>
  <r>
    <s v="Call_7892"/>
    <x v="0"/>
    <n v="37"/>
    <x v="2"/>
    <x v="184"/>
    <n v="124"/>
    <n v="4.5999999999999996"/>
    <n v="2024"/>
    <x v="0"/>
    <x v="2"/>
    <x v="0"/>
  </r>
  <r>
    <s v="Call_7893"/>
    <x v="13"/>
    <n v="137"/>
    <x v="2"/>
    <x v="185"/>
    <n v="84"/>
    <n v="2.6"/>
    <n v="2024"/>
    <x v="1"/>
    <x v="1"/>
    <x v="1"/>
  </r>
  <r>
    <s v="Call_7894"/>
    <x v="9"/>
    <n v="123"/>
    <x v="3"/>
    <x v="185"/>
    <n v="80"/>
    <n v="2.7"/>
    <n v="2024"/>
    <x v="1"/>
    <x v="1"/>
    <x v="1"/>
  </r>
  <r>
    <s v="Call_7895"/>
    <x v="12"/>
    <n v="105"/>
    <x v="3"/>
    <x v="186"/>
    <n v="176"/>
    <n v="4.7"/>
    <n v="2024"/>
    <x v="2"/>
    <x v="0"/>
    <x v="0"/>
  </r>
  <r>
    <s v="Call_7896"/>
    <x v="0"/>
    <n v="76"/>
    <x v="4"/>
    <x v="187"/>
    <n v="84"/>
    <n v="3.9"/>
    <n v="2024"/>
    <x v="3"/>
    <x v="0"/>
    <x v="2"/>
  </r>
  <r>
    <s v="Call_7897"/>
    <x v="1"/>
    <n v="144"/>
    <x v="4"/>
    <x v="187"/>
    <n v="164"/>
    <n v="2.8"/>
    <n v="2024"/>
    <x v="3"/>
    <x v="1"/>
    <x v="1"/>
  </r>
  <r>
    <s v="Call_7898"/>
    <x v="14"/>
    <n v="109"/>
    <x v="0"/>
    <x v="187"/>
    <n v="132"/>
    <n v="3.1"/>
    <n v="2024"/>
    <x v="3"/>
    <x v="0"/>
    <x v="1"/>
  </r>
  <r>
    <s v="Call_7899"/>
    <x v="9"/>
    <n v="172"/>
    <x v="2"/>
    <x v="188"/>
    <n v="27"/>
    <n v="4.2"/>
    <n v="2024"/>
    <x v="4"/>
    <x v="1"/>
    <x v="2"/>
  </r>
  <r>
    <s v="Call_7900"/>
    <x v="1"/>
    <n v="56"/>
    <x v="3"/>
    <x v="188"/>
    <n v="27"/>
    <n v="4.3"/>
    <n v="2024"/>
    <x v="4"/>
    <x v="2"/>
    <x v="2"/>
  </r>
  <r>
    <s v="Call_7901"/>
    <x v="1"/>
    <n v="121"/>
    <x v="1"/>
    <x v="188"/>
    <n v="20"/>
    <n v="2.7"/>
    <n v="2024"/>
    <x v="4"/>
    <x v="1"/>
    <x v="1"/>
  </r>
  <r>
    <s v="Call_7902"/>
    <x v="9"/>
    <n v="41"/>
    <x v="3"/>
    <x v="189"/>
    <n v="112"/>
    <n v="2.2999999999999998"/>
    <n v="2024"/>
    <x v="5"/>
    <x v="2"/>
    <x v="3"/>
  </r>
  <r>
    <s v="Call_7903"/>
    <x v="3"/>
    <n v="60"/>
    <x v="2"/>
    <x v="189"/>
    <n v="60"/>
    <n v="2.2999999999999998"/>
    <n v="2024"/>
    <x v="5"/>
    <x v="0"/>
    <x v="3"/>
  </r>
  <r>
    <s v="Call_7904"/>
    <x v="3"/>
    <n v="144"/>
    <x v="2"/>
    <x v="190"/>
    <n v="102"/>
    <n v="2.9"/>
    <n v="2024"/>
    <x v="6"/>
    <x v="1"/>
    <x v="1"/>
  </r>
  <r>
    <s v="Call_7905"/>
    <x v="4"/>
    <n v="67"/>
    <x v="2"/>
    <x v="190"/>
    <n v="38"/>
    <n v="4.2"/>
    <n v="2024"/>
    <x v="6"/>
    <x v="0"/>
    <x v="2"/>
  </r>
  <r>
    <s v="Call_7906"/>
    <x v="9"/>
    <n v="162"/>
    <x v="0"/>
    <x v="190"/>
    <n v="82"/>
    <n v="4.5999999999999996"/>
    <n v="2024"/>
    <x v="6"/>
    <x v="1"/>
    <x v="0"/>
  </r>
  <r>
    <s v="Call_7907"/>
    <x v="3"/>
    <n v="87"/>
    <x v="1"/>
    <x v="191"/>
    <n v="125"/>
    <n v="4.5"/>
    <n v="2024"/>
    <x v="2"/>
    <x v="0"/>
    <x v="0"/>
  </r>
  <r>
    <s v="Call_7908"/>
    <x v="11"/>
    <n v="10"/>
    <x v="4"/>
    <x v="192"/>
    <n v="72"/>
    <n v="3.7"/>
    <n v="2024"/>
    <x v="3"/>
    <x v="3"/>
    <x v="2"/>
  </r>
  <r>
    <s v="Call_7909"/>
    <x v="1"/>
    <n v="138"/>
    <x v="4"/>
    <x v="192"/>
    <n v="195"/>
    <n v="4.0999999999999996"/>
    <n v="2024"/>
    <x v="3"/>
    <x v="1"/>
    <x v="2"/>
  </r>
  <r>
    <s v="Call_7910"/>
    <x v="9"/>
    <n v="31"/>
    <x v="4"/>
    <x v="193"/>
    <n v="160"/>
    <n v="3.4"/>
    <n v="2024"/>
    <x v="4"/>
    <x v="2"/>
    <x v="1"/>
  </r>
  <r>
    <s v="Call_7911"/>
    <x v="12"/>
    <n v="75"/>
    <x v="0"/>
    <x v="193"/>
    <n v="78"/>
    <n v="3.3"/>
    <n v="2024"/>
    <x v="4"/>
    <x v="0"/>
    <x v="1"/>
  </r>
  <r>
    <s v="Call_7912"/>
    <x v="0"/>
    <n v="65"/>
    <x v="0"/>
    <x v="194"/>
    <n v="70"/>
    <n v="4.4000000000000004"/>
    <n v="2024"/>
    <x v="5"/>
    <x v="0"/>
    <x v="2"/>
  </r>
  <r>
    <s v="Call_7913"/>
    <x v="2"/>
    <n v="106"/>
    <x v="3"/>
    <x v="194"/>
    <n v="105"/>
    <n v="4.2"/>
    <n v="2024"/>
    <x v="5"/>
    <x v="0"/>
    <x v="2"/>
  </r>
  <r>
    <s v="Call_7914"/>
    <x v="0"/>
    <n v="107"/>
    <x v="3"/>
    <x v="195"/>
    <n v="78"/>
    <n v="3.4"/>
    <n v="2024"/>
    <x v="6"/>
    <x v="0"/>
    <x v="1"/>
  </r>
  <r>
    <s v="Call_7915"/>
    <x v="13"/>
    <n v="78"/>
    <x v="3"/>
    <x v="196"/>
    <n v="205"/>
    <n v="4.4000000000000004"/>
    <n v="2024"/>
    <x v="1"/>
    <x v="0"/>
    <x v="2"/>
  </r>
  <r>
    <s v="Call_7916"/>
    <x v="8"/>
    <n v="122"/>
    <x v="3"/>
    <x v="196"/>
    <n v="78"/>
    <n v="2.7"/>
    <n v="2024"/>
    <x v="1"/>
    <x v="1"/>
    <x v="1"/>
  </r>
  <r>
    <s v="Call_7917"/>
    <x v="1"/>
    <n v="58"/>
    <x v="4"/>
    <x v="196"/>
    <n v="38"/>
    <n v="4.5"/>
    <n v="2024"/>
    <x v="1"/>
    <x v="2"/>
    <x v="0"/>
  </r>
  <r>
    <s v="Call_7918"/>
    <x v="13"/>
    <n v="33"/>
    <x v="2"/>
    <x v="196"/>
    <n v="92"/>
    <n v="1.7"/>
    <n v="2024"/>
    <x v="1"/>
    <x v="2"/>
    <x v="3"/>
  </r>
  <r>
    <s v="Call_7919"/>
    <x v="14"/>
    <n v="164"/>
    <x v="0"/>
    <x v="196"/>
    <n v="36"/>
    <n v="4.7"/>
    <n v="2024"/>
    <x v="1"/>
    <x v="1"/>
    <x v="0"/>
  </r>
  <r>
    <s v="Call_7920"/>
    <x v="12"/>
    <n v="163"/>
    <x v="1"/>
    <x v="196"/>
    <n v="76"/>
    <n v="4.4000000000000004"/>
    <n v="2024"/>
    <x v="1"/>
    <x v="1"/>
    <x v="2"/>
  </r>
  <r>
    <s v="Call_7921"/>
    <x v="5"/>
    <n v="71"/>
    <x v="0"/>
    <x v="197"/>
    <n v="170"/>
    <n v="3.5"/>
    <n v="2024"/>
    <x v="3"/>
    <x v="0"/>
    <x v="2"/>
  </r>
  <r>
    <s v="Call_7922"/>
    <x v="13"/>
    <n v="103"/>
    <x v="4"/>
    <x v="198"/>
    <n v="117"/>
    <n v="4.7"/>
    <n v="2024"/>
    <x v="4"/>
    <x v="0"/>
    <x v="0"/>
  </r>
  <r>
    <s v="Call_7923"/>
    <x v="10"/>
    <n v="69"/>
    <x v="1"/>
    <x v="198"/>
    <n v="20"/>
    <n v="4.3"/>
    <n v="2024"/>
    <x v="4"/>
    <x v="0"/>
    <x v="2"/>
  </r>
  <r>
    <s v="Call_7924"/>
    <x v="12"/>
    <n v="111"/>
    <x v="4"/>
    <x v="198"/>
    <n v="99"/>
    <n v="4.0999999999999996"/>
    <n v="2024"/>
    <x v="4"/>
    <x v="0"/>
    <x v="2"/>
  </r>
  <r>
    <s v="Call_7925"/>
    <x v="6"/>
    <n v="97"/>
    <x v="1"/>
    <x v="199"/>
    <n v="105"/>
    <n v="2.9"/>
    <n v="2024"/>
    <x v="5"/>
    <x v="0"/>
    <x v="1"/>
  </r>
  <r>
    <s v="Call_7926"/>
    <x v="7"/>
    <n v="144"/>
    <x v="3"/>
    <x v="199"/>
    <n v="195"/>
    <n v="3.4"/>
    <n v="2024"/>
    <x v="5"/>
    <x v="1"/>
    <x v="1"/>
  </r>
  <r>
    <s v="Call_7927"/>
    <x v="2"/>
    <n v="56"/>
    <x v="1"/>
    <x v="200"/>
    <n v="152"/>
    <n v="4.5999999999999996"/>
    <n v="2024"/>
    <x v="6"/>
    <x v="2"/>
    <x v="0"/>
  </r>
  <r>
    <s v="Call_7928"/>
    <x v="7"/>
    <n v="132"/>
    <x v="3"/>
    <x v="201"/>
    <n v="195"/>
    <n v="4.9000000000000004"/>
    <n v="2024"/>
    <x v="0"/>
    <x v="1"/>
    <x v="0"/>
  </r>
  <r>
    <s v="Call_7929"/>
    <x v="5"/>
    <n v="72"/>
    <x v="2"/>
    <x v="201"/>
    <n v="70"/>
    <n v="3.6"/>
    <n v="2024"/>
    <x v="0"/>
    <x v="0"/>
    <x v="2"/>
  </r>
  <r>
    <s v="Call_7930"/>
    <x v="12"/>
    <n v="18"/>
    <x v="2"/>
    <x v="201"/>
    <n v="22"/>
    <n v="3.5"/>
    <n v="2024"/>
    <x v="0"/>
    <x v="3"/>
    <x v="2"/>
  </r>
  <r>
    <s v="Call_7931"/>
    <x v="4"/>
    <n v="115"/>
    <x v="4"/>
    <x v="202"/>
    <n v="40"/>
    <n v="3.3"/>
    <n v="2024"/>
    <x v="1"/>
    <x v="0"/>
    <x v="1"/>
  </r>
  <r>
    <s v="Call_7932"/>
    <x v="4"/>
    <n v="124"/>
    <x v="1"/>
    <x v="203"/>
    <n v="54"/>
    <n v="3.8"/>
    <n v="2024"/>
    <x v="2"/>
    <x v="1"/>
    <x v="2"/>
  </r>
  <r>
    <s v="Call_7933"/>
    <x v="1"/>
    <n v="130"/>
    <x v="1"/>
    <x v="203"/>
    <n v="60"/>
    <n v="2.5"/>
    <n v="2024"/>
    <x v="2"/>
    <x v="1"/>
    <x v="1"/>
  </r>
  <r>
    <s v="Call_7934"/>
    <x v="11"/>
    <n v="120"/>
    <x v="0"/>
    <x v="204"/>
    <n v="58"/>
    <n v="4.5999999999999996"/>
    <n v="2024"/>
    <x v="4"/>
    <x v="1"/>
    <x v="0"/>
  </r>
  <r>
    <s v="Call_7935"/>
    <x v="6"/>
    <n v="75"/>
    <x v="4"/>
    <x v="204"/>
    <n v="220"/>
    <n v="4.7"/>
    <n v="2024"/>
    <x v="4"/>
    <x v="0"/>
    <x v="0"/>
  </r>
  <r>
    <s v="Call_7936"/>
    <x v="0"/>
    <n v="63"/>
    <x v="4"/>
    <x v="204"/>
    <n v="27"/>
    <n v="3.6"/>
    <n v="2024"/>
    <x v="4"/>
    <x v="0"/>
    <x v="2"/>
  </r>
  <r>
    <s v="Call_7937"/>
    <x v="7"/>
    <n v="74"/>
    <x v="4"/>
    <x v="205"/>
    <n v="26"/>
    <n v="4.3"/>
    <n v="2024"/>
    <x v="6"/>
    <x v="0"/>
    <x v="2"/>
  </r>
  <r>
    <s v="Call_7938"/>
    <x v="10"/>
    <n v="134"/>
    <x v="3"/>
    <x v="206"/>
    <n v="160"/>
    <n v="4.7"/>
    <n v="2024"/>
    <x v="0"/>
    <x v="1"/>
    <x v="0"/>
  </r>
  <r>
    <s v="Call_7939"/>
    <x v="12"/>
    <n v="103"/>
    <x v="1"/>
    <x v="206"/>
    <n v="200"/>
    <n v="4.9000000000000004"/>
    <n v="2024"/>
    <x v="0"/>
    <x v="0"/>
    <x v="0"/>
  </r>
  <r>
    <s v="Call_7940"/>
    <x v="12"/>
    <n v="155"/>
    <x v="0"/>
    <x v="207"/>
    <n v="135"/>
    <n v="4.9000000000000004"/>
    <n v="2024"/>
    <x v="3"/>
    <x v="1"/>
    <x v="0"/>
  </r>
  <r>
    <s v="Call_7941"/>
    <x v="0"/>
    <n v="128"/>
    <x v="1"/>
    <x v="208"/>
    <n v="22"/>
    <n v="1.9"/>
    <n v="2024"/>
    <x v="4"/>
    <x v="1"/>
    <x v="3"/>
  </r>
  <r>
    <s v="Call_7942"/>
    <x v="6"/>
    <n v="89"/>
    <x v="3"/>
    <x v="209"/>
    <n v="164"/>
    <n v="4.5"/>
    <n v="2024"/>
    <x v="5"/>
    <x v="0"/>
    <x v="0"/>
  </r>
  <r>
    <s v="Call_7943"/>
    <x v="4"/>
    <n v="81"/>
    <x v="0"/>
    <x v="209"/>
    <n v="21"/>
    <n v="4.9000000000000004"/>
    <n v="2024"/>
    <x v="5"/>
    <x v="0"/>
    <x v="0"/>
  </r>
  <r>
    <s v="Call_7944"/>
    <x v="6"/>
    <n v="66"/>
    <x v="3"/>
    <x v="210"/>
    <n v="120"/>
    <n v="4.5"/>
    <n v="2024"/>
    <x v="6"/>
    <x v="0"/>
    <x v="0"/>
  </r>
  <r>
    <s v="Call_7945"/>
    <x v="5"/>
    <n v="61"/>
    <x v="2"/>
    <x v="210"/>
    <n v="93"/>
    <n v="2.7"/>
    <n v="2024"/>
    <x v="6"/>
    <x v="0"/>
    <x v="1"/>
  </r>
  <r>
    <s v="Call_7946"/>
    <x v="4"/>
    <n v="128"/>
    <x v="2"/>
    <x v="210"/>
    <n v="135"/>
    <n v="2.1"/>
    <n v="2024"/>
    <x v="6"/>
    <x v="1"/>
    <x v="3"/>
  </r>
  <r>
    <s v="Call_7947"/>
    <x v="12"/>
    <n v="30"/>
    <x v="0"/>
    <x v="210"/>
    <n v="210"/>
    <n v="4.2"/>
    <n v="2024"/>
    <x v="6"/>
    <x v="2"/>
    <x v="2"/>
  </r>
  <r>
    <s v="Call_7948"/>
    <x v="14"/>
    <n v="63"/>
    <x v="2"/>
    <x v="211"/>
    <n v="29"/>
    <n v="4.7"/>
    <n v="2024"/>
    <x v="0"/>
    <x v="0"/>
    <x v="0"/>
  </r>
  <r>
    <s v="Call_7949"/>
    <x v="8"/>
    <n v="64"/>
    <x v="4"/>
    <x v="211"/>
    <n v="111"/>
    <n v="3.9"/>
    <n v="2024"/>
    <x v="0"/>
    <x v="0"/>
    <x v="2"/>
  </r>
  <r>
    <s v="Call_7950"/>
    <x v="3"/>
    <n v="151"/>
    <x v="1"/>
    <x v="212"/>
    <n v="63"/>
    <n v="4.0999999999999996"/>
    <n v="2024"/>
    <x v="1"/>
    <x v="1"/>
    <x v="2"/>
  </r>
  <r>
    <s v="Call_7951"/>
    <x v="13"/>
    <n v="116"/>
    <x v="3"/>
    <x v="212"/>
    <n v="44"/>
    <n v="3.8"/>
    <n v="2024"/>
    <x v="1"/>
    <x v="0"/>
    <x v="2"/>
  </r>
  <r>
    <s v="Call_7952"/>
    <x v="3"/>
    <n v="111"/>
    <x v="3"/>
    <x v="213"/>
    <n v="120"/>
    <n v="1.8"/>
    <n v="2024"/>
    <x v="3"/>
    <x v="0"/>
    <x v="3"/>
  </r>
  <r>
    <s v="Call_7953"/>
    <x v="4"/>
    <n v="15"/>
    <x v="3"/>
    <x v="213"/>
    <n v="120"/>
    <n v="4.0999999999999996"/>
    <n v="2024"/>
    <x v="3"/>
    <x v="3"/>
    <x v="2"/>
  </r>
  <r>
    <s v="Call_7954"/>
    <x v="8"/>
    <n v="18"/>
    <x v="1"/>
    <x v="214"/>
    <n v="40"/>
    <n v="4.4000000000000004"/>
    <n v="2024"/>
    <x v="4"/>
    <x v="3"/>
    <x v="2"/>
  </r>
  <r>
    <s v="Call_7955"/>
    <x v="5"/>
    <n v="146"/>
    <x v="2"/>
    <x v="214"/>
    <n v="160"/>
    <n v="4.0999999999999996"/>
    <n v="2024"/>
    <x v="4"/>
    <x v="1"/>
    <x v="2"/>
  </r>
  <r>
    <s v="Call_7956"/>
    <x v="12"/>
    <n v="73"/>
    <x v="3"/>
    <x v="215"/>
    <n v="44"/>
    <n v="3.8"/>
    <n v="2024"/>
    <x v="5"/>
    <x v="0"/>
    <x v="2"/>
  </r>
  <r>
    <s v="Call_7957"/>
    <x v="3"/>
    <n v="108"/>
    <x v="1"/>
    <x v="215"/>
    <n v="80"/>
    <n v="4.3"/>
    <n v="2024"/>
    <x v="5"/>
    <x v="0"/>
    <x v="2"/>
  </r>
  <r>
    <s v="Call_7958"/>
    <x v="10"/>
    <n v="52"/>
    <x v="1"/>
    <x v="216"/>
    <n v="66"/>
    <n v="4.5"/>
    <n v="2024"/>
    <x v="6"/>
    <x v="2"/>
    <x v="0"/>
  </r>
  <r>
    <s v="Call_7959"/>
    <x v="13"/>
    <n v="165"/>
    <x v="4"/>
    <x v="216"/>
    <n v="82"/>
    <n v="3.4"/>
    <n v="2024"/>
    <x v="6"/>
    <x v="1"/>
    <x v="1"/>
  </r>
  <r>
    <s v="Call_7960"/>
    <x v="5"/>
    <n v="104"/>
    <x v="3"/>
    <x v="216"/>
    <n v="66"/>
    <n v="4.8"/>
    <n v="2024"/>
    <x v="6"/>
    <x v="0"/>
    <x v="0"/>
  </r>
  <r>
    <s v="Call_7961"/>
    <x v="12"/>
    <n v="131"/>
    <x v="2"/>
    <x v="216"/>
    <n v="92"/>
    <n v="4.9000000000000004"/>
    <n v="2024"/>
    <x v="6"/>
    <x v="1"/>
    <x v="0"/>
  </r>
  <r>
    <s v="Call_7962"/>
    <x v="11"/>
    <n v="80"/>
    <x v="4"/>
    <x v="217"/>
    <n v="104"/>
    <n v="4.7"/>
    <n v="2024"/>
    <x v="0"/>
    <x v="0"/>
    <x v="0"/>
  </r>
  <r>
    <s v="Call_7963"/>
    <x v="4"/>
    <n v="49"/>
    <x v="3"/>
    <x v="217"/>
    <n v="105"/>
    <n v="3.3"/>
    <n v="2024"/>
    <x v="0"/>
    <x v="2"/>
    <x v="1"/>
  </r>
  <r>
    <s v="Call_7964"/>
    <x v="13"/>
    <n v="73"/>
    <x v="3"/>
    <x v="217"/>
    <n v="100"/>
    <n v="2.8"/>
    <n v="2024"/>
    <x v="0"/>
    <x v="0"/>
    <x v="1"/>
  </r>
  <r>
    <s v="Call_7965"/>
    <x v="5"/>
    <n v="117"/>
    <x v="4"/>
    <x v="217"/>
    <n v="90"/>
    <n v="4.0999999999999996"/>
    <n v="2024"/>
    <x v="0"/>
    <x v="0"/>
    <x v="2"/>
  </r>
  <r>
    <s v="Call_7966"/>
    <x v="2"/>
    <n v="38"/>
    <x v="0"/>
    <x v="217"/>
    <n v="110"/>
    <n v="3.5"/>
    <n v="2024"/>
    <x v="0"/>
    <x v="2"/>
    <x v="2"/>
  </r>
  <r>
    <s v="Call_7967"/>
    <x v="10"/>
    <n v="109"/>
    <x v="4"/>
    <x v="218"/>
    <n v="68"/>
    <n v="2.2999999999999998"/>
    <n v="2024"/>
    <x v="2"/>
    <x v="0"/>
    <x v="3"/>
  </r>
  <r>
    <s v="Call_7968"/>
    <x v="4"/>
    <n v="70"/>
    <x v="1"/>
    <x v="219"/>
    <n v="210"/>
    <n v="4.0999999999999996"/>
    <n v="2024"/>
    <x v="3"/>
    <x v="0"/>
    <x v="2"/>
  </r>
  <r>
    <s v="Call_7969"/>
    <x v="1"/>
    <n v="51"/>
    <x v="0"/>
    <x v="219"/>
    <n v="111"/>
    <n v="4.3"/>
    <n v="2024"/>
    <x v="3"/>
    <x v="2"/>
    <x v="2"/>
  </r>
  <r>
    <s v="Call_7970"/>
    <x v="1"/>
    <n v="100"/>
    <x v="1"/>
    <x v="220"/>
    <n v="45"/>
    <n v="4.9000000000000004"/>
    <n v="2024"/>
    <x v="4"/>
    <x v="0"/>
    <x v="0"/>
  </r>
  <r>
    <s v="Call_7971"/>
    <x v="7"/>
    <n v="124"/>
    <x v="0"/>
    <x v="221"/>
    <n v="132"/>
    <n v="4"/>
    <n v="2024"/>
    <x v="5"/>
    <x v="1"/>
    <x v="2"/>
  </r>
  <r>
    <s v="Call_7972"/>
    <x v="0"/>
    <n v="143"/>
    <x v="4"/>
    <x v="221"/>
    <n v="20"/>
    <n v="4.7"/>
    <n v="2024"/>
    <x v="5"/>
    <x v="1"/>
    <x v="0"/>
  </r>
  <r>
    <s v="Call_7973"/>
    <x v="6"/>
    <n v="96"/>
    <x v="3"/>
    <x v="221"/>
    <n v="36"/>
    <n v="3.4"/>
    <n v="2024"/>
    <x v="5"/>
    <x v="0"/>
    <x v="1"/>
  </r>
  <r>
    <s v="Call_7974"/>
    <x v="13"/>
    <n v="84"/>
    <x v="1"/>
    <x v="222"/>
    <n v="72"/>
    <n v="4"/>
    <n v="2024"/>
    <x v="0"/>
    <x v="0"/>
    <x v="2"/>
  </r>
  <r>
    <s v="Call_7975"/>
    <x v="9"/>
    <n v="111"/>
    <x v="1"/>
    <x v="222"/>
    <n v="63"/>
    <n v="4.5"/>
    <n v="2024"/>
    <x v="0"/>
    <x v="0"/>
    <x v="0"/>
  </r>
  <r>
    <s v="Call_7976"/>
    <x v="9"/>
    <n v="103"/>
    <x v="0"/>
    <x v="223"/>
    <n v="44"/>
    <n v="4.5"/>
    <n v="2024"/>
    <x v="1"/>
    <x v="0"/>
    <x v="0"/>
  </r>
  <r>
    <s v="Call_7977"/>
    <x v="0"/>
    <n v="61"/>
    <x v="2"/>
    <x v="223"/>
    <n v="132"/>
    <n v="4.9000000000000004"/>
    <n v="2024"/>
    <x v="1"/>
    <x v="0"/>
    <x v="0"/>
  </r>
  <r>
    <s v="Call_7978"/>
    <x v="12"/>
    <n v="113"/>
    <x v="3"/>
    <x v="223"/>
    <n v="46"/>
    <n v="4.4000000000000004"/>
    <n v="2024"/>
    <x v="1"/>
    <x v="0"/>
    <x v="2"/>
  </r>
  <r>
    <s v="Call_7979"/>
    <x v="12"/>
    <n v="96"/>
    <x v="3"/>
    <x v="223"/>
    <n v="96"/>
    <n v="2.9"/>
    <n v="2024"/>
    <x v="1"/>
    <x v="0"/>
    <x v="1"/>
  </r>
  <r>
    <s v="Call_7980"/>
    <x v="8"/>
    <n v="131"/>
    <x v="0"/>
    <x v="224"/>
    <n v="75"/>
    <n v="4.4000000000000004"/>
    <n v="2024"/>
    <x v="2"/>
    <x v="1"/>
    <x v="2"/>
  </r>
  <r>
    <s v="Call_7981"/>
    <x v="5"/>
    <n v="52"/>
    <x v="3"/>
    <x v="225"/>
    <n v="88"/>
    <n v="4.3"/>
    <n v="2024"/>
    <x v="3"/>
    <x v="2"/>
    <x v="2"/>
  </r>
  <r>
    <s v="Call_7982"/>
    <x v="1"/>
    <n v="100"/>
    <x v="0"/>
    <x v="225"/>
    <n v="24"/>
    <n v="4.7"/>
    <n v="2024"/>
    <x v="3"/>
    <x v="0"/>
    <x v="0"/>
  </r>
  <r>
    <s v="Call_7983"/>
    <x v="3"/>
    <n v="58"/>
    <x v="4"/>
    <x v="225"/>
    <n v="96"/>
    <n v="3.2"/>
    <n v="2024"/>
    <x v="3"/>
    <x v="2"/>
    <x v="1"/>
  </r>
  <r>
    <s v="Call_7984"/>
    <x v="4"/>
    <n v="144"/>
    <x v="4"/>
    <x v="226"/>
    <n v="124"/>
    <n v="2.2999999999999998"/>
    <n v="2024"/>
    <x v="4"/>
    <x v="1"/>
    <x v="3"/>
  </r>
  <r>
    <s v="Call_7985"/>
    <x v="3"/>
    <n v="53"/>
    <x v="2"/>
    <x v="227"/>
    <n v="130"/>
    <n v="3.6"/>
    <n v="2024"/>
    <x v="5"/>
    <x v="2"/>
    <x v="2"/>
  </r>
  <r>
    <s v="Call_7986"/>
    <x v="12"/>
    <n v="97"/>
    <x v="1"/>
    <x v="227"/>
    <n v="45"/>
    <n v="4.5999999999999996"/>
    <n v="2024"/>
    <x v="5"/>
    <x v="0"/>
    <x v="0"/>
  </r>
  <r>
    <s v="Call_7987"/>
    <x v="2"/>
    <n v="64"/>
    <x v="4"/>
    <x v="227"/>
    <n v="66"/>
    <n v="4"/>
    <n v="2024"/>
    <x v="5"/>
    <x v="0"/>
    <x v="2"/>
  </r>
  <r>
    <s v="Call_7988"/>
    <x v="0"/>
    <n v="106"/>
    <x v="0"/>
    <x v="227"/>
    <n v="58"/>
    <n v="4.7"/>
    <n v="2024"/>
    <x v="5"/>
    <x v="0"/>
    <x v="0"/>
  </r>
  <r>
    <s v="Call_7989"/>
    <x v="13"/>
    <n v="36"/>
    <x v="4"/>
    <x v="228"/>
    <n v="152"/>
    <n v="4.3"/>
    <n v="2024"/>
    <x v="6"/>
    <x v="2"/>
    <x v="2"/>
  </r>
  <r>
    <s v="Call_7990"/>
    <x v="4"/>
    <n v="74"/>
    <x v="3"/>
    <x v="228"/>
    <n v="75"/>
    <n v="2.8"/>
    <n v="2024"/>
    <x v="6"/>
    <x v="0"/>
    <x v="1"/>
  </r>
  <r>
    <s v="Call_7991"/>
    <x v="10"/>
    <n v="143"/>
    <x v="1"/>
    <x v="228"/>
    <n v="78"/>
    <n v="4"/>
    <n v="2024"/>
    <x v="6"/>
    <x v="1"/>
    <x v="2"/>
  </r>
  <r>
    <s v="Call_7992"/>
    <x v="0"/>
    <n v="94"/>
    <x v="2"/>
    <x v="228"/>
    <n v="69"/>
    <n v="3.9"/>
    <n v="2024"/>
    <x v="6"/>
    <x v="0"/>
    <x v="2"/>
  </r>
  <r>
    <s v="Call_7993"/>
    <x v="11"/>
    <n v="124"/>
    <x v="0"/>
    <x v="229"/>
    <n v="46"/>
    <n v="3.1"/>
    <n v="2024"/>
    <x v="0"/>
    <x v="1"/>
    <x v="1"/>
  </r>
  <r>
    <s v="Call_7994"/>
    <x v="13"/>
    <n v="156"/>
    <x v="4"/>
    <x v="229"/>
    <n v="64"/>
    <n v="2.7"/>
    <n v="2024"/>
    <x v="0"/>
    <x v="1"/>
    <x v="1"/>
  </r>
  <r>
    <s v="Call_7995"/>
    <x v="6"/>
    <n v="107"/>
    <x v="1"/>
    <x v="229"/>
    <n v="38"/>
    <n v="4.7"/>
    <n v="2024"/>
    <x v="0"/>
    <x v="0"/>
    <x v="0"/>
  </r>
  <r>
    <s v="Call_7996"/>
    <x v="0"/>
    <n v="58"/>
    <x v="1"/>
    <x v="230"/>
    <n v="90"/>
    <n v="4.3"/>
    <n v="2024"/>
    <x v="2"/>
    <x v="2"/>
    <x v="2"/>
  </r>
  <r>
    <s v="Call_7997"/>
    <x v="7"/>
    <n v="66"/>
    <x v="1"/>
    <x v="230"/>
    <n v="32"/>
    <n v="3.8"/>
    <n v="2024"/>
    <x v="2"/>
    <x v="0"/>
    <x v="2"/>
  </r>
  <r>
    <s v="Call_7998"/>
    <x v="8"/>
    <n v="75"/>
    <x v="4"/>
    <x v="230"/>
    <n v="120"/>
    <n v="4.4000000000000004"/>
    <n v="2024"/>
    <x v="2"/>
    <x v="0"/>
    <x v="2"/>
  </r>
  <r>
    <s v="Call_7999"/>
    <x v="6"/>
    <n v="8"/>
    <x v="1"/>
    <x v="230"/>
    <n v="31"/>
    <n v="3.9"/>
    <n v="2024"/>
    <x v="2"/>
    <x v="4"/>
    <x v="2"/>
  </r>
  <r>
    <s v="Call_8000"/>
    <x v="2"/>
    <n v="76"/>
    <x v="4"/>
    <x v="231"/>
    <n v="108"/>
    <n v="4.9000000000000004"/>
    <n v="2024"/>
    <x v="3"/>
    <x v="0"/>
    <x v="0"/>
  </r>
  <r>
    <s v="Call_8001"/>
    <x v="0"/>
    <n v="110"/>
    <x v="4"/>
    <x v="231"/>
    <n v="180"/>
    <n v="4.2"/>
    <n v="2024"/>
    <x v="3"/>
    <x v="0"/>
    <x v="2"/>
  </r>
  <r>
    <s v="Call_8002"/>
    <x v="7"/>
    <n v="50"/>
    <x v="2"/>
    <x v="232"/>
    <n v="124"/>
    <n v="4"/>
    <n v="2024"/>
    <x v="4"/>
    <x v="2"/>
    <x v="2"/>
  </r>
  <r>
    <s v="Call_8003"/>
    <x v="5"/>
    <n v="78"/>
    <x v="2"/>
    <x v="232"/>
    <n v="23"/>
    <n v="4.2"/>
    <n v="2024"/>
    <x v="4"/>
    <x v="0"/>
    <x v="2"/>
  </r>
  <r>
    <s v="Call_8004"/>
    <x v="12"/>
    <n v="59"/>
    <x v="0"/>
    <x v="233"/>
    <n v="24"/>
    <n v="4.8"/>
    <n v="2024"/>
    <x v="5"/>
    <x v="2"/>
    <x v="0"/>
  </r>
  <r>
    <s v="Call_8005"/>
    <x v="5"/>
    <n v="126"/>
    <x v="1"/>
    <x v="234"/>
    <n v="52"/>
    <n v="1.1000000000000001"/>
    <n v="2024"/>
    <x v="6"/>
    <x v="1"/>
    <x v="5"/>
  </r>
  <r>
    <s v="Call_8006"/>
    <x v="2"/>
    <n v="43"/>
    <x v="0"/>
    <x v="235"/>
    <n v="168"/>
    <n v="4"/>
    <n v="2024"/>
    <x v="0"/>
    <x v="2"/>
    <x v="2"/>
  </r>
  <r>
    <s v="Call_8007"/>
    <x v="13"/>
    <n v="79"/>
    <x v="4"/>
    <x v="236"/>
    <n v="125"/>
    <n v="4.8"/>
    <n v="2024"/>
    <x v="2"/>
    <x v="0"/>
    <x v="0"/>
  </r>
  <r>
    <s v="Call_8008"/>
    <x v="0"/>
    <n v="71"/>
    <x v="0"/>
    <x v="237"/>
    <n v="50"/>
    <n v="4.2"/>
    <n v="2024"/>
    <x v="3"/>
    <x v="0"/>
    <x v="2"/>
  </r>
  <r>
    <s v="Call_8009"/>
    <x v="9"/>
    <n v="94"/>
    <x v="1"/>
    <x v="238"/>
    <n v="220"/>
    <n v="4.5999999999999996"/>
    <n v="2024"/>
    <x v="4"/>
    <x v="0"/>
    <x v="0"/>
  </r>
  <r>
    <s v="Call_8010"/>
    <x v="6"/>
    <n v="108"/>
    <x v="0"/>
    <x v="238"/>
    <n v="180"/>
    <n v="4"/>
    <n v="2024"/>
    <x v="4"/>
    <x v="0"/>
    <x v="2"/>
  </r>
  <r>
    <s v="Call_8011"/>
    <x v="2"/>
    <n v="76"/>
    <x v="1"/>
    <x v="238"/>
    <n v="110"/>
    <n v="3.9"/>
    <n v="2024"/>
    <x v="4"/>
    <x v="0"/>
    <x v="2"/>
  </r>
  <r>
    <s v="Call_8012"/>
    <x v="12"/>
    <n v="136"/>
    <x v="0"/>
    <x v="238"/>
    <n v="36"/>
    <n v="2.8"/>
    <n v="2024"/>
    <x v="4"/>
    <x v="1"/>
    <x v="1"/>
  </r>
  <r>
    <s v="Call_8013"/>
    <x v="1"/>
    <n v="129"/>
    <x v="2"/>
    <x v="239"/>
    <n v="93"/>
    <n v="4.7"/>
    <n v="2024"/>
    <x v="5"/>
    <x v="1"/>
    <x v="0"/>
  </r>
  <r>
    <s v="Call_8014"/>
    <x v="6"/>
    <n v="120"/>
    <x v="0"/>
    <x v="239"/>
    <n v="38"/>
    <n v="4.2"/>
    <n v="2024"/>
    <x v="5"/>
    <x v="1"/>
    <x v="2"/>
  </r>
  <r>
    <s v="Call_8015"/>
    <x v="2"/>
    <n v="108"/>
    <x v="2"/>
    <x v="240"/>
    <n v="66"/>
    <n v="3.9"/>
    <n v="2024"/>
    <x v="6"/>
    <x v="0"/>
    <x v="2"/>
  </r>
  <r>
    <s v="Call_8016"/>
    <x v="5"/>
    <n v="79"/>
    <x v="0"/>
    <x v="240"/>
    <n v="215"/>
    <n v="4.5999999999999996"/>
    <n v="2024"/>
    <x v="6"/>
    <x v="0"/>
    <x v="0"/>
  </r>
  <r>
    <s v="Call_8017"/>
    <x v="5"/>
    <n v="45"/>
    <x v="2"/>
    <x v="240"/>
    <n v="92"/>
    <n v="4.3"/>
    <n v="2024"/>
    <x v="6"/>
    <x v="2"/>
    <x v="2"/>
  </r>
  <r>
    <s v="Call_8018"/>
    <x v="4"/>
    <n v="96"/>
    <x v="0"/>
    <x v="240"/>
    <n v="80"/>
    <n v="3.6"/>
    <n v="2024"/>
    <x v="6"/>
    <x v="0"/>
    <x v="2"/>
  </r>
  <r>
    <s v="Call_8019"/>
    <x v="4"/>
    <n v="81"/>
    <x v="0"/>
    <x v="241"/>
    <n v="123"/>
    <n v="4.9000000000000004"/>
    <n v="2024"/>
    <x v="0"/>
    <x v="0"/>
    <x v="0"/>
  </r>
  <r>
    <s v="Call_8020"/>
    <x v="12"/>
    <n v="95"/>
    <x v="3"/>
    <x v="241"/>
    <n v="23"/>
    <n v="2.4"/>
    <n v="2024"/>
    <x v="0"/>
    <x v="0"/>
    <x v="3"/>
  </r>
  <r>
    <s v="Call_8021"/>
    <x v="11"/>
    <n v="159"/>
    <x v="1"/>
    <x v="241"/>
    <n v="63"/>
    <n v="4.2"/>
    <n v="2024"/>
    <x v="0"/>
    <x v="1"/>
    <x v="2"/>
  </r>
  <r>
    <s v="Call_8022"/>
    <x v="14"/>
    <n v="109"/>
    <x v="4"/>
    <x v="241"/>
    <n v="52"/>
    <n v="3.9"/>
    <n v="2024"/>
    <x v="0"/>
    <x v="0"/>
    <x v="2"/>
  </r>
  <r>
    <s v="Call_8023"/>
    <x v="5"/>
    <n v="107"/>
    <x v="4"/>
    <x v="241"/>
    <n v="60"/>
    <n v="4.2"/>
    <n v="2024"/>
    <x v="0"/>
    <x v="0"/>
    <x v="2"/>
  </r>
  <r>
    <s v="Call_8024"/>
    <x v="4"/>
    <n v="67"/>
    <x v="2"/>
    <x v="242"/>
    <n v="87"/>
    <n v="3.9"/>
    <n v="2024"/>
    <x v="1"/>
    <x v="0"/>
    <x v="2"/>
  </r>
  <r>
    <s v="Call_8025"/>
    <x v="8"/>
    <n v="96"/>
    <x v="0"/>
    <x v="243"/>
    <n v="42"/>
    <n v="4.5"/>
    <n v="2024"/>
    <x v="2"/>
    <x v="0"/>
    <x v="0"/>
  </r>
  <r>
    <s v="Call_8026"/>
    <x v="10"/>
    <n v="142"/>
    <x v="1"/>
    <x v="244"/>
    <n v="37"/>
    <n v="3.8"/>
    <n v="2024"/>
    <x v="3"/>
    <x v="1"/>
    <x v="2"/>
  </r>
  <r>
    <s v="Call_8027"/>
    <x v="10"/>
    <n v="71"/>
    <x v="3"/>
    <x v="244"/>
    <n v="135"/>
    <n v="3.9"/>
    <n v="2024"/>
    <x v="3"/>
    <x v="0"/>
    <x v="2"/>
  </r>
  <r>
    <s v="Call_8028"/>
    <x v="8"/>
    <n v="152"/>
    <x v="3"/>
    <x v="244"/>
    <n v="88"/>
    <n v="4.7"/>
    <n v="2024"/>
    <x v="3"/>
    <x v="1"/>
    <x v="0"/>
  </r>
  <r>
    <s v="Call_8029"/>
    <x v="13"/>
    <n v="108"/>
    <x v="1"/>
    <x v="244"/>
    <n v="190"/>
    <n v="3.2"/>
    <n v="2024"/>
    <x v="3"/>
    <x v="0"/>
    <x v="1"/>
  </r>
  <r>
    <s v="Call_8030"/>
    <x v="13"/>
    <n v="156"/>
    <x v="3"/>
    <x v="244"/>
    <n v="81"/>
    <n v="5"/>
    <n v="2024"/>
    <x v="3"/>
    <x v="1"/>
    <x v="0"/>
  </r>
  <r>
    <s v="Call_8031"/>
    <x v="10"/>
    <n v="126"/>
    <x v="1"/>
    <x v="244"/>
    <n v="44"/>
    <n v="3.7"/>
    <n v="2024"/>
    <x v="3"/>
    <x v="1"/>
    <x v="2"/>
  </r>
  <r>
    <s v="Call_8032"/>
    <x v="2"/>
    <n v="135"/>
    <x v="3"/>
    <x v="245"/>
    <n v="92"/>
    <n v="3.9"/>
    <n v="2024"/>
    <x v="4"/>
    <x v="1"/>
    <x v="2"/>
  </r>
  <r>
    <s v="Call_8033"/>
    <x v="10"/>
    <n v="110"/>
    <x v="0"/>
    <x v="246"/>
    <n v="90"/>
    <n v="3.1"/>
    <n v="2024"/>
    <x v="5"/>
    <x v="0"/>
    <x v="1"/>
  </r>
  <r>
    <s v="Call_8034"/>
    <x v="11"/>
    <n v="64"/>
    <x v="3"/>
    <x v="246"/>
    <n v="112"/>
    <n v="2"/>
    <n v="2024"/>
    <x v="5"/>
    <x v="0"/>
    <x v="3"/>
  </r>
  <r>
    <s v="Call_8035"/>
    <x v="9"/>
    <n v="127"/>
    <x v="1"/>
    <x v="246"/>
    <n v="112"/>
    <n v="4.5999999999999996"/>
    <n v="2024"/>
    <x v="5"/>
    <x v="1"/>
    <x v="0"/>
  </r>
  <r>
    <s v="Call_8036"/>
    <x v="14"/>
    <n v="124"/>
    <x v="2"/>
    <x v="246"/>
    <n v="48"/>
    <n v="3.7"/>
    <n v="2024"/>
    <x v="5"/>
    <x v="1"/>
    <x v="2"/>
  </r>
  <r>
    <s v="Call_8037"/>
    <x v="11"/>
    <n v="125"/>
    <x v="1"/>
    <x v="246"/>
    <n v="116"/>
    <n v="4.4000000000000004"/>
    <n v="2024"/>
    <x v="5"/>
    <x v="1"/>
    <x v="2"/>
  </r>
  <r>
    <s v="Call_8038"/>
    <x v="1"/>
    <n v="70"/>
    <x v="1"/>
    <x v="246"/>
    <n v="29"/>
    <n v="2.1"/>
    <n v="2024"/>
    <x v="5"/>
    <x v="0"/>
    <x v="3"/>
  </r>
  <r>
    <s v="Call_8039"/>
    <x v="9"/>
    <n v="93"/>
    <x v="3"/>
    <x v="247"/>
    <n v="170"/>
    <n v="2.2000000000000002"/>
    <n v="2024"/>
    <x v="6"/>
    <x v="0"/>
    <x v="3"/>
  </r>
  <r>
    <s v="Call_8040"/>
    <x v="1"/>
    <n v="120"/>
    <x v="4"/>
    <x v="247"/>
    <n v="68"/>
    <n v="3.4"/>
    <n v="2024"/>
    <x v="6"/>
    <x v="1"/>
    <x v="1"/>
  </r>
  <r>
    <s v="Call_8041"/>
    <x v="4"/>
    <n v="96"/>
    <x v="0"/>
    <x v="247"/>
    <n v="195"/>
    <n v="2.7"/>
    <n v="2024"/>
    <x v="6"/>
    <x v="0"/>
    <x v="1"/>
  </r>
  <r>
    <s v="Call_8042"/>
    <x v="3"/>
    <n v="67"/>
    <x v="0"/>
    <x v="247"/>
    <n v="96"/>
    <n v="3.7"/>
    <n v="2024"/>
    <x v="6"/>
    <x v="0"/>
    <x v="2"/>
  </r>
  <r>
    <s v="Call_8043"/>
    <x v="11"/>
    <n v="119"/>
    <x v="0"/>
    <x v="247"/>
    <n v="96"/>
    <n v="3.1"/>
    <n v="2024"/>
    <x v="6"/>
    <x v="0"/>
    <x v="1"/>
  </r>
  <r>
    <s v="Call_8044"/>
    <x v="14"/>
    <n v="61"/>
    <x v="2"/>
    <x v="247"/>
    <n v="117"/>
    <n v="4.0999999999999996"/>
    <n v="2024"/>
    <x v="6"/>
    <x v="0"/>
    <x v="2"/>
  </r>
  <r>
    <s v="Call_8045"/>
    <x v="4"/>
    <n v="29"/>
    <x v="3"/>
    <x v="247"/>
    <n v="80"/>
    <n v="4.8"/>
    <n v="2024"/>
    <x v="6"/>
    <x v="3"/>
    <x v="0"/>
  </r>
  <r>
    <s v="Call_8046"/>
    <x v="8"/>
    <n v="134"/>
    <x v="4"/>
    <x v="247"/>
    <n v="117"/>
    <n v="4"/>
    <n v="2024"/>
    <x v="6"/>
    <x v="1"/>
    <x v="2"/>
  </r>
  <r>
    <s v="Call_8047"/>
    <x v="10"/>
    <n v="113"/>
    <x v="0"/>
    <x v="248"/>
    <n v="40"/>
    <n v="3"/>
    <n v="2024"/>
    <x v="0"/>
    <x v="0"/>
    <x v="1"/>
  </r>
  <r>
    <s v="Call_8048"/>
    <x v="13"/>
    <n v="12"/>
    <x v="4"/>
    <x v="248"/>
    <n v="117"/>
    <n v="4.8"/>
    <n v="2024"/>
    <x v="0"/>
    <x v="3"/>
    <x v="0"/>
  </r>
  <r>
    <s v="Call_8049"/>
    <x v="7"/>
    <n v="78"/>
    <x v="3"/>
    <x v="248"/>
    <n v="135"/>
    <n v="4.0999999999999996"/>
    <n v="2024"/>
    <x v="0"/>
    <x v="0"/>
    <x v="2"/>
  </r>
  <r>
    <s v="Call_8050"/>
    <x v="11"/>
    <n v="82"/>
    <x v="1"/>
    <x v="248"/>
    <n v="99"/>
    <n v="4.2"/>
    <n v="2024"/>
    <x v="0"/>
    <x v="0"/>
    <x v="2"/>
  </r>
  <r>
    <s v="Call_8051"/>
    <x v="6"/>
    <n v="149"/>
    <x v="2"/>
    <x v="248"/>
    <n v="130"/>
    <n v="3.3"/>
    <n v="2024"/>
    <x v="0"/>
    <x v="1"/>
    <x v="1"/>
  </r>
  <r>
    <s v="Call_8052"/>
    <x v="5"/>
    <n v="56"/>
    <x v="4"/>
    <x v="248"/>
    <n v="96"/>
    <n v="4.7"/>
    <n v="2024"/>
    <x v="0"/>
    <x v="2"/>
    <x v="0"/>
  </r>
  <r>
    <s v="Call_8053"/>
    <x v="4"/>
    <n v="80"/>
    <x v="2"/>
    <x v="248"/>
    <n v="128"/>
    <n v="3.7"/>
    <n v="2024"/>
    <x v="0"/>
    <x v="0"/>
    <x v="2"/>
  </r>
  <r>
    <s v="Call_8054"/>
    <x v="14"/>
    <n v="131"/>
    <x v="0"/>
    <x v="248"/>
    <n v="69"/>
    <n v="4.7"/>
    <n v="2024"/>
    <x v="0"/>
    <x v="1"/>
    <x v="0"/>
  </r>
  <r>
    <s v="Call_8055"/>
    <x v="14"/>
    <n v="109"/>
    <x v="0"/>
    <x v="248"/>
    <n v="44"/>
    <n v="4.5999999999999996"/>
    <n v="2024"/>
    <x v="0"/>
    <x v="0"/>
    <x v="0"/>
  </r>
  <r>
    <s v="Call_8056"/>
    <x v="5"/>
    <n v="142"/>
    <x v="0"/>
    <x v="248"/>
    <n v="44"/>
    <n v="4.8"/>
    <n v="2024"/>
    <x v="0"/>
    <x v="1"/>
    <x v="0"/>
  </r>
  <r>
    <s v="Call_8057"/>
    <x v="9"/>
    <n v="114"/>
    <x v="4"/>
    <x v="249"/>
    <n v="135"/>
    <n v="2"/>
    <n v="2024"/>
    <x v="1"/>
    <x v="0"/>
    <x v="3"/>
  </r>
  <r>
    <s v="Call_8058"/>
    <x v="3"/>
    <n v="93"/>
    <x v="2"/>
    <x v="249"/>
    <n v="45"/>
    <n v="3.9"/>
    <n v="2024"/>
    <x v="1"/>
    <x v="0"/>
    <x v="2"/>
  </r>
  <r>
    <s v="Call_8059"/>
    <x v="13"/>
    <n v="43"/>
    <x v="2"/>
    <x v="249"/>
    <n v="87"/>
    <n v="3"/>
    <n v="2024"/>
    <x v="1"/>
    <x v="2"/>
    <x v="1"/>
  </r>
  <r>
    <s v="Call_8060"/>
    <x v="8"/>
    <n v="78"/>
    <x v="3"/>
    <x v="250"/>
    <n v="84"/>
    <n v="4.5999999999999996"/>
    <n v="2024"/>
    <x v="2"/>
    <x v="0"/>
    <x v="0"/>
  </r>
  <r>
    <s v="Call_8061"/>
    <x v="9"/>
    <n v="89"/>
    <x v="0"/>
    <x v="250"/>
    <n v="81"/>
    <n v="3.8"/>
    <n v="2024"/>
    <x v="2"/>
    <x v="0"/>
    <x v="2"/>
  </r>
  <r>
    <s v="Call_8062"/>
    <x v="5"/>
    <n v="82"/>
    <x v="1"/>
    <x v="250"/>
    <n v="130"/>
    <n v="4.4000000000000004"/>
    <n v="2024"/>
    <x v="2"/>
    <x v="0"/>
    <x v="2"/>
  </r>
  <r>
    <s v="Call_8063"/>
    <x v="4"/>
    <n v="86"/>
    <x v="0"/>
    <x v="251"/>
    <n v="92"/>
    <n v="2.4"/>
    <n v="2024"/>
    <x v="3"/>
    <x v="0"/>
    <x v="3"/>
  </r>
  <r>
    <s v="Call_8064"/>
    <x v="12"/>
    <n v="57"/>
    <x v="3"/>
    <x v="251"/>
    <n v="48"/>
    <n v="4.5"/>
    <n v="2024"/>
    <x v="3"/>
    <x v="2"/>
    <x v="0"/>
  </r>
  <r>
    <s v="Call_8065"/>
    <x v="3"/>
    <n v="103"/>
    <x v="4"/>
    <x v="251"/>
    <n v="160"/>
    <n v="4.5"/>
    <n v="2024"/>
    <x v="3"/>
    <x v="0"/>
    <x v="0"/>
  </r>
  <r>
    <s v="Call_8066"/>
    <x v="7"/>
    <n v="138"/>
    <x v="3"/>
    <x v="252"/>
    <n v="155"/>
    <n v="2.7"/>
    <n v="2024"/>
    <x v="4"/>
    <x v="1"/>
    <x v="1"/>
  </r>
  <r>
    <s v="Call_8067"/>
    <x v="6"/>
    <n v="88"/>
    <x v="1"/>
    <x v="252"/>
    <n v="100"/>
    <n v="4.9000000000000004"/>
    <n v="2024"/>
    <x v="4"/>
    <x v="0"/>
    <x v="0"/>
  </r>
  <r>
    <s v="Call_8068"/>
    <x v="9"/>
    <n v="118"/>
    <x v="2"/>
    <x v="252"/>
    <n v="56"/>
    <n v="3.7"/>
    <n v="2024"/>
    <x v="4"/>
    <x v="0"/>
    <x v="2"/>
  </r>
  <r>
    <s v="Call_8069"/>
    <x v="4"/>
    <n v="4"/>
    <x v="0"/>
    <x v="252"/>
    <n v="170"/>
    <n v="3.9"/>
    <n v="2024"/>
    <x v="4"/>
    <x v="4"/>
    <x v="2"/>
  </r>
  <r>
    <s v="Call_8070"/>
    <x v="13"/>
    <n v="78"/>
    <x v="4"/>
    <x v="253"/>
    <n v="74"/>
    <n v="3.5"/>
    <n v="2024"/>
    <x v="5"/>
    <x v="0"/>
    <x v="2"/>
  </r>
  <r>
    <s v="Call_8071"/>
    <x v="10"/>
    <n v="69"/>
    <x v="0"/>
    <x v="253"/>
    <n v="99"/>
    <n v="2.7"/>
    <n v="2024"/>
    <x v="5"/>
    <x v="0"/>
    <x v="1"/>
  </r>
  <r>
    <s v="Call_8072"/>
    <x v="5"/>
    <n v="90"/>
    <x v="3"/>
    <x v="253"/>
    <n v="84"/>
    <n v="3.9"/>
    <n v="2024"/>
    <x v="5"/>
    <x v="0"/>
    <x v="2"/>
  </r>
  <r>
    <s v="Call_8073"/>
    <x v="10"/>
    <n v="134"/>
    <x v="0"/>
    <x v="253"/>
    <n v="35"/>
    <n v="3.4"/>
    <n v="2024"/>
    <x v="5"/>
    <x v="1"/>
    <x v="1"/>
  </r>
  <r>
    <s v="Call_8074"/>
    <x v="1"/>
    <n v="65"/>
    <x v="2"/>
    <x v="253"/>
    <n v="150"/>
    <n v="5"/>
    <n v="2024"/>
    <x v="5"/>
    <x v="0"/>
    <x v="0"/>
  </r>
  <r>
    <s v="Call_8075"/>
    <x v="2"/>
    <n v="54"/>
    <x v="4"/>
    <x v="254"/>
    <n v="176"/>
    <n v="4.4000000000000004"/>
    <n v="2024"/>
    <x v="6"/>
    <x v="2"/>
    <x v="2"/>
  </r>
  <r>
    <s v="Call_8076"/>
    <x v="2"/>
    <n v="90"/>
    <x v="4"/>
    <x v="254"/>
    <n v="84"/>
    <n v="4.3"/>
    <n v="2024"/>
    <x v="6"/>
    <x v="0"/>
    <x v="2"/>
  </r>
  <r>
    <s v="Call_8077"/>
    <x v="5"/>
    <n v="66"/>
    <x v="4"/>
    <x v="254"/>
    <n v="136"/>
    <n v="4.7"/>
    <n v="2024"/>
    <x v="6"/>
    <x v="0"/>
    <x v="0"/>
  </r>
  <r>
    <s v="Call_8078"/>
    <x v="4"/>
    <n v="150"/>
    <x v="4"/>
    <x v="255"/>
    <n v="70"/>
    <n v="4.0999999999999996"/>
    <n v="2024"/>
    <x v="0"/>
    <x v="1"/>
    <x v="2"/>
  </r>
  <r>
    <s v="Call_8079"/>
    <x v="8"/>
    <n v="18"/>
    <x v="2"/>
    <x v="255"/>
    <n v="96"/>
    <n v="4.8"/>
    <n v="2024"/>
    <x v="0"/>
    <x v="3"/>
    <x v="0"/>
  </r>
  <r>
    <s v="Call_8080"/>
    <x v="2"/>
    <n v="87"/>
    <x v="2"/>
    <x v="255"/>
    <n v="23"/>
    <n v="4.2"/>
    <n v="2024"/>
    <x v="0"/>
    <x v="0"/>
    <x v="2"/>
  </r>
  <r>
    <s v="Call_8081"/>
    <x v="7"/>
    <n v="94"/>
    <x v="4"/>
    <x v="256"/>
    <n v="120"/>
    <n v="3.4"/>
    <n v="2024"/>
    <x v="1"/>
    <x v="0"/>
    <x v="1"/>
  </r>
  <r>
    <s v="Call_8082"/>
    <x v="12"/>
    <n v="56"/>
    <x v="4"/>
    <x v="256"/>
    <n v="205"/>
    <n v="3.3"/>
    <n v="2024"/>
    <x v="1"/>
    <x v="2"/>
    <x v="1"/>
  </r>
  <r>
    <s v="Call_8083"/>
    <x v="9"/>
    <n v="41"/>
    <x v="1"/>
    <x v="257"/>
    <n v="42"/>
    <n v="3.8"/>
    <n v="2024"/>
    <x v="2"/>
    <x v="2"/>
    <x v="2"/>
  </r>
  <r>
    <s v="Call_8084"/>
    <x v="4"/>
    <n v="119"/>
    <x v="3"/>
    <x v="257"/>
    <n v="111"/>
    <n v="3.9"/>
    <n v="2024"/>
    <x v="2"/>
    <x v="0"/>
    <x v="2"/>
  </r>
  <r>
    <s v="Call_8085"/>
    <x v="3"/>
    <n v="108"/>
    <x v="4"/>
    <x v="257"/>
    <n v="68"/>
    <n v="2.5"/>
    <n v="2024"/>
    <x v="2"/>
    <x v="0"/>
    <x v="1"/>
  </r>
  <r>
    <s v="Call_8086"/>
    <x v="13"/>
    <n v="63"/>
    <x v="0"/>
    <x v="257"/>
    <n v="172"/>
    <n v="4.9000000000000004"/>
    <n v="2024"/>
    <x v="2"/>
    <x v="0"/>
    <x v="0"/>
  </r>
  <r>
    <s v="Call_8087"/>
    <x v="11"/>
    <n v="59"/>
    <x v="4"/>
    <x v="257"/>
    <n v="152"/>
    <n v="4.8"/>
    <n v="2024"/>
    <x v="2"/>
    <x v="2"/>
    <x v="0"/>
  </r>
  <r>
    <s v="Call_8088"/>
    <x v="11"/>
    <n v="90"/>
    <x v="1"/>
    <x v="257"/>
    <n v="48"/>
    <n v="4.7"/>
    <n v="2024"/>
    <x v="2"/>
    <x v="0"/>
    <x v="0"/>
  </r>
  <r>
    <s v="Call_8089"/>
    <x v="6"/>
    <n v="55"/>
    <x v="1"/>
    <x v="257"/>
    <n v="25"/>
    <n v="4.7"/>
    <n v="2024"/>
    <x v="2"/>
    <x v="2"/>
    <x v="0"/>
  </r>
  <r>
    <s v="Call_8090"/>
    <x v="3"/>
    <n v="84"/>
    <x v="3"/>
    <x v="258"/>
    <n v="54"/>
    <n v="3.3"/>
    <n v="2024"/>
    <x v="3"/>
    <x v="0"/>
    <x v="1"/>
  </r>
  <r>
    <s v="Call_8091"/>
    <x v="3"/>
    <n v="150"/>
    <x v="2"/>
    <x v="258"/>
    <n v="108"/>
    <n v="4.7"/>
    <n v="2024"/>
    <x v="3"/>
    <x v="1"/>
    <x v="0"/>
  </r>
  <r>
    <s v="Call_8092"/>
    <x v="14"/>
    <n v="69"/>
    <x v="4"/>
    <x v="258"/>
    <n v="36"/>
    <n v="4.5"/>
    <n v="2024"/>
    <x v="3"/>
    <x v="0"/>
    <x v="0"/>
  </r>
  <r>
    <s v="Call_8093"/>
    <x v="0"/>
    <n v="120"/>
    <x v="1"/>
    <x v="259"/>
    <n v="140"/>
    <n v="4.5999999999999996"/>
    <n v="2024"/>
    <x v="4"/>
    <x v="1"/>
    <x v="0"/>
  </r>
  <r>
    <s v="Call_8094"/>
    <x v="2"/>
    <n v="126"/>
    <x v="3"/>
    <x v="259"/>
    <n v="50"/>
    <n v="4.8"/>
    <n v="2024"/>
    <x v="4"/>
    <x v="1"/>
    <x v="0"/>
  </r>
  <r>
    <s v="Call_8095"/>
    <x v="14"/>
    <n v="120"/>
    <x v="0"/>
    <x v="259"/>
    <n v="195"/>
    <n v="4.3"/>
    <n v="2024"/>
    <x v="4"/>
    <x v="1"/>
    <x v="2"/>
  </r>
  <r>
    <s v="Call_8096"/>
    <x v="2"/>
    <n v="139"/>
    <x v="1"/>
    <x v="260"/>
    <n v="48"/>
    <n v="4.7"/>
    <n v="2024"/>
    <x v="5"/>
    <x v="1"/>
    <x v="0"/>
  </r>
  <r>
    <s v="Call_8097"/>
    <x v="6"/>
    <n v="124"/>
    <x v="4"/>
    <x v="261"/>
    <n v="29"/>
    <n v="4.8"/>
    <n v="2024"/>
    <x v="6"/>
    <x v="1"/>
    <x v="0"/>
  </r>
  <r>
    <s v="Call_8098"/>
    <x v="0"/>
    <n v="108"/>
    <x v="0"/>
    <x v="261"/>
    <n v="44"/>
    <n v="4.7"/>
    <n v="2024"/>
    <x v="6"/>
    <x v="0"/>
    <x v="0"/>
  </r>
  <r>
    <s v="Call_8099"/>
    <x v="1"/>
    <n v="132"/>
    <x v="2"/>
    <x v="261"/>
    <n v="140"/>
    <n v="4.3"/>
    <n v="2024"/>
    <x v="6"/>
    <x v="1"/>
    <x v="2"/>
  </r>
  <r>
    <s v="Call_8100"/>
    <x v="13"/>
    <n v="67"/>
    <x v="2"/>
    <x v="261"/>
    <n v="105"/>
    <n v="3.8"/>
    <n v="2024"/>
    <x v="6"/>
    <x v="0"/>
    <x v="2"/>
  </r>
  <r>
    <s v="Call_8101"/>
    <x v="5"/>
    <n v="125"/>
    <x v="2"/>
    <x v="261"/>
    <n v="82"/>
    <n v="4.5999999999999996"/>
    <n v="2024"/>
    <x v="6"/>
    <x v="1"/>
    <x v="0"/>
  </r>
  <r>
    <s v="Call_8102"/>
    <x v="0"/>
    <n v="23"/>
    <x v="0"/>
    <x v="261"/>
    <n v="24"/>
    <n v="2.9"/>
    <n v="2024"/>
    <x v="6"/>
    <x v="3"/>
    <x v="1"/>
  </r>
  <r>
    <s v="Call_8103"/>
    <x v="4"/>
    <n v="131"/>
    <x v="4"/>
    <x v="262"/>
    <n v="205"/>
    <n v="4.8"/>
    <n v="2024"/>
    <x v="0"/>
    <x v="1"/>
    <x v="0"/>
  </r>
  <r>
    <s v="Call_8104"/>
    <x v="1"/>
    <n v="56"/>
    <x v="1"/>
    <x v="262"/>
    <n v="225"/>
    <n v="4.9000000000000004"/>
    <n v="2024"/>
    <x v="0"/>
    <x v="2"/>
    <x v="0"/>
  </r>
  <r>
    <s v="Call_8105"/>
    <x v="4"/>
    <n v="70"/>
    <x v="4"/>
    <x v="262"/>
    <n v="50"/>
    <n v="3.4"/>
    <n v="2024"/>
    <x v="0"/>
    <x v="0"/>
    <x v="1"/>
  </r>
  <r>
    <s v="Call_8106"/>
    <x v="4"/>
    <n v="55"/>
    <x v="2"/>
    <x v="262"/>
    <n v="80"/>
    <n v="4.3"/>
    <n v="2024"/>
    <x v="0"/>
    <x v="2"/>
    <x v="2"/>
  </r>
  <r>
    <s v="Call_8107"/>
    <x v="5"/>
    <n v="77"/>
    <x v="1"/>
    <x v="262"/>
    <n v="78"/>
    <n v="3.9"/>
    <n v="2024"/>
    <x v="0"/>
    <x v="0"/>
    <x v="2"/>
  </r>
  <r>
    <s v="Call_8108"/>
    <x v="3"/>
    <n v="133"/>
    <x v="4"/>
    <x v="263"/>
    <n v="40"/>
    <n v="3.9"/>
    <n v="2024"/>
    <x v="1"/>
    <x v="1"/>
    <x v="2"/>
  </r>
  <r>
    <s v="Call_8109"/>
    <x v="5"/>
    <n v="77"/>
    <x v="1"/>
    <x v="263"/>
    <n v="176"/>
    <n v="1.5"/>
    <n v="2024"/>
    <x v="1"/>
    <x v="0"/>
    <x v="3"/>
  </r>
  <r>
    <s v="Call_8110"/>
    <x v="11"/>
    <n v="103"/>
    <x v="4"/>
    <x v="263"/>
    <n v="78"/>
    <n v="3"/>
    <n v="2024"/>
    <x v="1"/>
    <x v="0"/>
    <x v="1"/>
  </r>
  <r>
    <s v="Call_8111"/>
    <x v="14"/>
    <n v="32"/>
    <x v="1"/>
    <x v="263"/>
    <n v="42"/>
    <n v="4.2"/>
    <n v="2024"/>
    <x v="1"/>
    <x v="2"/>
    <x v="2"/>
  </r>
  <r>
    <s v="Call_8112"/>
    <x v="3"/>
    <n v="30"/>
    <x v="4"/>
    <x v="263"/>
    <n v="38"/>
    <n v="3.7"/>
    <n v="2024"/>
    <x v="1"/>
    <x v="2"/>
    <x v="2"/>
  </r>
  <r>
    <s v="Call_8113"/>
    <x v="2"/>
    <n v="87"/>
    <x v="3"/>
    <x v="263"/>
    <n v="27"/>
    <n v="4.2"/>
    <n v="2024"/>
    <x v="1"/>
    <x v="0"/>
    <x v="2"/>
  </r>
  <r>
    <s v="Call_8114"/>
    <x v="5"/>
    <n v="137"/>
    <x v="0"/>
    <x v="264"/>
    <n v="45"/>
    <n v="4.4000000000000004"/>
    <n v="2024"/>
    <x v="2"/>
    <x v="1"/>
    <x v="2"/>
  </r>
  <r>
    <s v="Call_8115"/>
    <x v="7"/>
    <n v="96"/>
    <x v="4"/>
    <x v="264"/>
    <n v="215"/>
    <n v="4"/>
    <n v="2024"/>
    <x v="2"/>
    <x v="0"/>
    <x v="2"/>
  </r>
  <r>
    <s v="Call_8116"/>
    <x v="6"/>
    <n v="155"/>
    <x v="4"/>
    <x v="265"/>
    <n v="72"/>
    <n v="4.7"/>
    <n v="2024"/>
    <x v="3"/>
    <x v="1"/>
    <x v="0"/>
  </r>
  <r>
    <s v="Call_8117"/>
    <x v="3"/>
    <n v="173"/>
    <x v="2"/>
    <x v="265"/>
    <n v="160"/>
    <n v="2.8"/>
    <n v="2024"/>
    <x v="3"/>
    <x v="1"/>
    <x v="1"/>
  </r>
  <r>
    <s v="Call_8118"/>
    <x v="6"/>
    <n v="127"/>
    <x v="4"/>
    <x v="265"/>
    <n v="165"/>
    <n v="2.5"/>
    <n v="2024"/>
    <x v="3"/>
    <x v="1"/>
    <x v="1"/>
  </r>
  <r>
    <s v="Call_8119"/>
    <x v="1"/>
    <n v="117"/>
    <x v="2"/>
    <x v="265"/>
    <n v="120"/>
    <n v="3.4"/>
    <n v="2024"/>
    <x v="3"/>
    <x v="0"/>
    <x v="1"/>
  </r>
  <r>
    <s v="Call_8120"/>
    <x v="0"/>
    <n v="133"/>
    <x v="1"/>
    <x v="265"/>
    <n v="117"/>
    <n v="4.8"/>
    <n v="2024"/>
    <x v="3"/>
    <x v="1"/>
    <x v="0"/>
  </r>
  <r>
    <s v="Call_8121"/>
    <x v="8"/>
    <n v="166"/>
    <x v="3"/>
    <x v="266"/>
    <n v="29"/>
    <n v="4.3"/>
    <n v="2024"/>
    <x v="4"/>
    <x v="1"/>
    <x v="2"/>
  </r>
  <r>
    <s v="Call_8122"/>
    <x v="0"/>
    <n v="50"/>
    <x v="2"/>
    <x v="266"/>
    <n v="64"/>
    <n v="4.5"/>
    <n v="2024"/>
    <x v="4"/>
    <x v="2"/>
    <x v="0"/>
  </r>
  <r>
    <s v="Call_8123"/>
    <x v="11"/>
    <n v="43"/>
    <x v="1"/>
    <x v="266"/>
    <n v="84"/>
    <n v="3.6"/>
    <n v="2024"/>
    <x v="4"/>
    <x v="2"/>
    <x v="2"/>
  </r>
  <r>
    <s v="Call_8124"/>
    <x v="7"/>
    <n v="124"/>
    <x v="4"/>
    <x v="266"/>
    <n v="42"/>
    <n v="3.7"/>
    <n v="2024"/>
    <x v="4"/>
    <x v="1"/>
    <x v="2"/>
  </r>
  <r>
    <s v="Call_8125"/>
    <x v="3"/>
    <n v="94"/>
    <x v="4"/>
    <x v="266"/>
    <n v="120"/>
    <n v="3.5"/>
    <n v="2024"/>
    <x v="4"/>
    <x v="0"/>
    <x v="2"/>
  </r>
  <r>
    <s v="Call_8126"/>
    <x v="11"/>
    <n v="126"/>
    <x v="3"/>
    <x v="267"/>
    <n v="80"/>
    <n v="4.7"/>
    <n v="2024"/>
    <x v="5"/>
    <x v="1"/>
    <x v="0"/>
  </r>
  <r>
    <s v="Call_8127"/>
    <x v="8"/>
    <n v="105"/>
    <x v="2"/>
    <x v="267"/>
    <n v="185"/>
    <n v="3.5"/>
    <n v="2024"/>
    <x v="5"/>
    <x v="0"/>
    <x v="2"/>
  </r>
  <r>
    <s v="Call_8128"/>
    <x v="4"/>
    <n v="60"/>
    <x v="0"/>
    <x v="268"/>
    <n v="135"/>
    <n v="3.9"/>
    <n v="2024"/>
    <x v="6"/>
    <x v="0"/>
    <x v="2"/>
  </r>
  <r>
    <s v="Call_8129"/>
    <x v="4"/>
    <n v="72"/>
    <x v="2"/>
    <x v="268"/>
    <n v="20"/>
    <n v="4.8"/>
    <n v="2024"/>
    <x v="6"/>
    <x v="0"/>
    <x v="0"/>
  </r>
  <r>
    <s v="Call_8130"/>
    <x v="12"/>
    <n v="40"/>
    <x v="2"/>
    <x v="268"/>
    <n v="31"/>
    <n v="4"/>
    <n v="2024"/>
    <x v="6"/>
    <x v="2"/>
    <x v="2"/>
  </r>
  <r>
    <s v="Call_8131"/>
    <x v="14"/>
    <n v="54"/>
    <x v="3"/>
    <x v="269"/>
    <n v="120"/>
    <n v="4.7"/>
    <n v="2024"/>
    <x v="0"/>
    <x v="2"/>
    <x v="0"/>
  </r>
  <r>
    <s v="Call_8132"/>
    <x v="1"/>
    <n v="81"/>
    <x v="1"/>
    <x v="269"/>
    <n v="117"/>
    <n v="3.6"/>
    <n v="2024"/>
    <x v="0"/>
    <x v="0"/>
    <x v="2"/>
  </r>
  <r>
    <s v="Call_8133"/>
    <x v="14"/>
    <n v="76"/>
    <x v="4"/>
    <x v="269"/>
    <n v="80"/>
    <n v="4.5"/>
    <n v="2024"/>
    <x v="0"/>
    <x v="0"/>
    <x v="0"/>
  </r>
  <r>
    <s v="Call_8134"/>
    <x v="14"/>
    <n v="37"/>
    <x v="0"/>
    <x v="270"/>
    <n v="117"/>
    <n v="4"/>
    <n v="2024"/>
    <x v="1"/>
    <x v="2"/>
    <x v="2"/>
  </r>
  <r>
    <s v="Call_8135"/>
    <x v="8"/>
    <n v="96"/>
    <x v="3"/>
    <x v="270"/>
    <n v="60"/>
    <n v="4.5"/>
    <n v="2024"/>
    <x v="1"/>
    <x v="0"/>
    <x v="0"/>
  </r>
  <r>
    <s v="Call_8136"/>
    <x v="4"/>
    <n v="19"/>
    <x v="4"/>
    <x v="271"/>
    <n v="58"/>
    <n v="3.9"/>
    <n v="2024"/>
    <x v="2"/>
    <x v="3"/>
    <x v="2"/>
  </r>
  <r>
    <s v="Call_8137"/>
    <x v="12"/>
    <n v="72"/>
    <x v="0"/>
    <x v="271"/>
    <n v="41"/>
    <n v="4.3"/>
    <n v="2024"/>
    <x v="2"/>
    <x v="0"/>
    <x v="2"/>
  </r>
  <r>
    <s v="Call_8138"/>
    <x v="3"/>
    <n v="73"/>
    <x v="1"/>
    <x v="271"/>
    <n v="180"/>
    <n v="3.6"/>
    <n v="2024"/>
    <x v="2"/>
    <x v="0"/>
    <x v="2"/>
  </r>
  <r>
    <s v="Call_8139"/>
    <x v="13"/>
    <n v="87"/>
    <x v="1"/>
    <x v="271"/>
    <n v="42"/>
    <n v="3.6"/>
    <n v="2024"/>
    <x v="2"/>
    <x v="0"/>
    <x v="2"/>
  </r>
  <r>
    <s v="Call_8140"/>
    <x v="13"/>
    <n v="68"/>
    <x v="1"/>
    <x v="272"/>
    <n v="24"/>
    <n v="4"/>
    <n v="2024"/>
    <x v="3"/>
    <x v="0"/>
    <x v="2"/>
  </r>
  <r>
    <s v="Call_8141"/>
    <x v="12"/>
    <n v="101"/>
    <x v="1"/>
    <x v="272"/>
    <n v="125"/>
    <n v="4.2"/>
    <n v="2024"/>
    <x v="3"/>
    <x v="0"/>
    <x v="2"/>
  </r>
  <r>
    <s v="Call_8142"/>
    <x v="12"/>
    <n v="107"/>
    <x v="0"/>
    <x v="273"/>
    <n v="78"/>
    <n v="4.3"/>
    <n v="2024"/>
    <x v="4"/>
    <x v="0"/>
    <x v="2"/>
  </r>
  <r>
    <s v="Call_8143"/>
    <x v="9"/>
    <n v="109"/>
    <x v="2"/>
    <x v="273"/>
    <n v="180"/>
    <n v="3.8"/>
    <n v="2024"/>
    <x v="4"/>
    <x v="0"/>
    <x v="2"/>
  </r>
  <r>
    <s v="Call_8144"/>
    <x v="7"/>
    <n v="171"/>
    <x v="0"/>
    <x v="273"/>
    <n v="84"/>
    <n v="4.4000000000000004"/>
    <n v="2024"/>
    <x v="4"/>
    <x v="1"/>
    <x v="2"/>
  </r>
  <r>
    <s v="Call_8145"/>
    <x v="4"/>
    <n v="21"/>
    <x v="0"/>
    <x v="273"/>
    <n v="26"/>
    <n v="4.7"/>
    <n v="2024"/>
    <x v="4"/>
    <x v="3"/>
    <x v="0"/>
  </r>
  <r>
    <s v="Call_8146"/>
    <x v="1"/>
    <n v="94"/>
    <x v="0"/>
    <x v="274"/>
    <n v="140"/>
    <n v="3.6"/>
    <n v="2024"/>
    <x v="5"/>
    <x v="0"/>
    <x v="2"/>
  </r>
  <r>
    <s v="Call_8147"/>
    <x v="3"/>
    <n v="97"/>
    <x v="2"/>
    <x v="274"/>
    <n v="31"/>
    <n v="2.2000000000000002"/>
    <n v="2024"/>
    <x v="5"/>
    <x v="0"/>
    <x v="3"/>
  </r>
  <r>
    <s v="Call_8148"/>
    <x v="8"/>
    <n v="72"/>
    <x v="2"/>
    <x v="274"/>
    <n v="108"/>
    <n v="4.8"/>
    <n v="2024"/>
    <x v="5"/>
    <x v="0"/>
    <x v="0"/>
  </r>
  <r>
    <s v="Call_8149"/>
    <x v="7"/>
    <n v="143"/>
    <x v="3"/>
    <x v="275"/>
    <n v="58"/>
    <n v="4.3"/>
    <n v="2024"/>
    <x v="6"/>
    <x v="1"/>
    <x v="2"/>
  </r>
  <r>
    <s v="Call_8150"/>
    <x v="7"/>
    <n v="64"/>
    <x v="2"/>
    <x v="275"/>
    <n v="185"/>
    <n v="2.2000000000000002"/>
    <n v="2024"/>
    <x v="6"/>
    <x v="0"/>
    <x v="3"/>
  </r>
  <r>
    <s v="Call_8151"/>
    <x v="7"/>
    <n v="69"/>
    <x v="2"/>
    <x v="275"/>
    <n v="40"/>
    <n v="4.8"/>
    <n v="2024"/>
    <x v="6"/>
    <x v="0"/>
    <x v="0"/>
  </r>
  <r>
    <s v="Call_8152"/>
    <x v="7"/>
    <n v="18"/>
    <x v="4"/>
    <x v="275"/>
    <n v="225"/>
    <n v="2.6"/>
    <n v="2024"/>
    <x v="6"/>
    <x v="3"/>
    <x v="1"/>
  </r>
  <r>
    <s v="Call_8153"/>
    <x v="3"/>
    <n v="100"/>
    <x v="3"/>
    <x v="275"/>
    <n v="150"/>
    <n v="2.6"/>
    <n v="2024"/>
    <x v="6"/>
    <x v="0"/>
    <x v="1"/>
  </r>
  <r>
    <s v="Call_8154"/>
    <x v="6"/>
    <n v="110"/>
    <x v="1"/>
    <x v="276"/>
    <n v="88"/>
    <n v="3.4"/>
    <n v="2024"/>
    <x v="0"/>
    <x v="0"/>
    <x v="1"/>
  </r>
  <r>
    <s v="Call_8155"/>
    <x v="10"/>
    <n v="41"/>
    <x v="0"/>
    <x v="276"/>
    <n v="140"/>
    <n v="3.7"/>
    <n v="2024"/>
    <x v="0"/>
    <x v="2"/>
    <x v="2"/>
  </r>
  <r>
    <s v="Call_8156"/>
    <x v="6"/>
    <n v="147"/>
    <x v="1"/>
    <x v="276"/>
    <n v="68"/>
    <n v="2.1"/>
    <n v="2024"/>
    <x v="0"/>
    <x v="1"/>
    <x v="3"/>
  </r>
  <r>
    <s v="Call_8157"/>
    <x v="1"/>
    <n v="31"/>
    <x v="4"/>
    <x v="277"/>
    <n v="105"/>
    <n v="3.6"/>
    <n v="2024"/>
    <x v="1"/>
    <x v="2"/>
    <x v="2"/>
  </r>
  <r>
    <s v="Call_8158"/>
    <x v="13"/>
    <n v="142"/>
    <x v="0"/>
    <x v="277"/>
    <n v="40"/>
    <n v="3.8"/>
    <n v="2024"/>
    <x v="1"/>
    <x v="1"/>
    <x v="2"/>
  </r>
  <r>
    <s v="Call_8159"/>
    <x v="9"/>
    <n v="61"/>
    <x v="0"/>
    <x v="277"/>
    <n v="82"/>
    <n v="3.1"/>
    <n v="2024"/>
    <x v="1"/>
    <x v="0"/>
    <x v="1"/>
  </r>
  <r>
    <s v="Call_8160"/>
    <x v="0"/>
    <n v="86"/>
    <x v="4"/>
    <x v="278"/>
    <n v="90"/>
    <n v="4.4000000000000004"/>
    <n v="2024"/>
    <x v="2"/>
    <x v="0"/>
    <x v="2"/>
  </r>
  <r>
    <s v="Call_8161"/>
    <x v="2"/>
    <n v="165"/>
    <x v="3"/>
    <x v="279"/>
    <n v="66"/>
    <n v="4.8"/>
    <n v="2024"/>
    <x v="3"/>
    <x v="1"/>
    <x v="0"/>
  </r>
  <r>
    <s v="Call_8162"/>
    <x v="14"/>
    <n v="62"/>
    <x v="1"/>
    <x v="279"/>
    <n v="78"/>
    <n v="3.5"/>
    <n v="2024"/>
    <x v="3"/>
    <x v="0"/>
    <x v="2"/>
  </r>
  <r>
    <s v="Call_8163"/>
    <x v="3"/>
    <n v="103"/>
    <x v="3"/>
    <x v="280"/>
    <n v="66"/>
    <n v="4.4000000000000004"/>
    <n v="2024"/>
    <x v="4"/>
    <x v="0"/>
    <x v="2"/>
  </r>
  <r>
    <s v="Call_8164"/>
    <x v="13"/>
    <n v="56"/>
    <x v="4"/>
    <x v="281"/>
    <n v="160"/>
    <n v="3.8"/>
    <n v="2024"/>
    <x v="5"/>
    <x v="2"/>
    <x v="2"/>
  </r>
  <r>
    <s v="Call_8165"/>
    <x v="12"/>
    <n v="114"/>
    <x v="0"/>
    <x v="282"/>
    <n v="144"/>
    <n v="3.8"/>
    <n v="2024"/>
    <x v="6"/>
    <x v="0"/>
    <x v="2"/>
  </r>
  <r>
    <s v="Call_8166"/>
    <x v="13"/>
    <n v="112"/>
    <x v="2"/>
    <x v="282"/>
    <n v="200"/>
    <n v="4.5999999999999996"/>
    <n v="2024"/>
    <x v="6"/>
    <x v="0"/>
    <x v="0"/>
  </r>
  <r>
    <s v="Call_8167"/>
    <x v="5"/>
    <n v="52"/>
    <x v="1"/>
    <x v="283"/>
    <n v="220"/>
    <n v="5"/>
    <n v="2024"/>
    <x v="1"/>
    <x v="2"/>
    <x v="0"/>
  </r>
  <r>
    <s v="Call_8168"/>
    <x v="3"/>
    <n v="105"/>
    <x v="3"/>
    <x v="284"/>
    <n v="112"/>
    <n v="3.2"/>
    <n v="2024"/>
    <x v="2"/>
    <x v="0"/>
    <x v="1"/>
  </r>
  <r>
    <s v="Call_8169"/>
    <x v="2"/>
    <n v="91"/>
    <x v="4"/>
    <x v="284"/>
    <n v="110"/>
    <n v="3.7"/>
    <n v="2024"/>
    <x v="2"/>
    <x v="0"/>
    <x v="2"/>
  </r>
  <r>
    <s v="Call_8170"/>
    <x v="11"/>
    <n v="74"/>
    <x v="0"/>
    <x v="285"/>
    <n v="160"/>
    <n v="2.7"/>
    <n v="2024"/>
    <x v="3"/>
    <x v="0"/>
    <x v="1"/>
  </r>
  <r>
    <s v="Call_8171"/>
    <x v="11"/>
    <n v="30"/>
    <x v="4"/>
    <x v="285"/>
    <n v="84"/>
    <n v="4"/>
    <n v="2024"/>
    <x v="3"/>
    <x v="2"/>
    <x v="2"/>
  </r>
  <r>
    <s v="Call_8172"/>
    <x v="2"/>
    <n v="56"/>
    <x v="1"/>
    <x v="285"/>
    <n v="124"/>
    <n v="2.6"/>
    <n v="2024"/>
    <x v="3"/>
    <x v="2"/>
    <x v="1"/>
  </r>
  <r>
    <s v="Call_8173"/>
    <x v="11"/>
    <n v="151"/>
    <x v="2"/>
    <x v="285"/>
    <n v="84"/>
    <n v="4.5999999999999996"/>
    <n v="2024"/>
    <x v="3"/>
    <x v="1"/>
    <x v="0"/>
  </r>
  <r>
    <s v="Call_8174"/>
    <x v="1"/>
    <n v="108"/>
    <x v="3"/>
    <x v="286"/>
    <n v="130"/>
    <n v="2.7"/>
    <n v="2024"/>
    <x v="4"/>
    <x v="0"/>
    <x v="1"/>
  </r>
  <r>
    <s v="Call_8175"/>
    <x v="12"/>
    <n v="124"/>
    <x v="0"/>
    <x v="286"/>
    <n v="215"/>
    <n v="3.5"/>
    <n v="2024"/>
    <x v="4"/>
    <x v="1"/>
    <x v="2"/>
  </r>
  <r>
    <s v="Call_8176"/>
    <x v="3"/>
    <n v="110"/>
    <x v="1"/>
    <x v="287"/>
    <n v="132"/>
    <n v="3.6"/>
    <n v="2024"/>
    <x v="5"/>
    <x v="0"/>
    <x v="2"/>
  </r>
  <r>
    <s v="Call_8177"/>
    <x v="6"/>
    <n v="89"/>
    <x v="3"/>
    <x v="287"/>
    <n v="88"/>
    <n v="4.9000000000000004"/>
    <n v="2024"/>
    <x v="5"/>
    <x v="0"/>
    <x v="0"/>
  </r>
  <r>
    <s v="Call_8178"/>
    <x v="0"/>
    <n v="95"/>
    <x v="1"/>
    <x v="287"/>
    <n v="140"/>
    <n v="3.9"/>
    <n v="2024"/>
    <x v="5"/>
    <x v="0"/>
    <x v="2"/>
  </r>
  <r>
    <s v="Call_8179"/>
    <x v="11"/>
    <n v="84"/>
    <x v="3"/>
    <x v="288"/>
    <n v="66"/>
    <n v="4.7"/>
    <n v="2024"/>
    <x v="6"/>
    <x v="0"/>
    <x v="0"/>
  </r>
  <r>
    <s v="Call_8180"/>
    <x v="8"/>
    <n v="89"/>
    <x v="0"/>
    <x v="288"/>
    <n v="23"/>
    <n v="4.5"/>
    <n v="2024"/>
    <x v="6"/>
    <x v="0"/>
    <x v="0"/>
  </r>
  <r>
    <s v="Call_8181"/>
    <x v="6"/>
    <n v="146"/>
    <x v="0"/>
    <x v="289"/>
    <n v="220"/>
    <n v="4.5"/>
    <n v="2024"/>
    <x v="0"/>
    <x v="1"/>
    <x v="0"/>
  </r>
  <r>
    <s v="Call_8182"/>
    <x v="7"/>
    <n v="62"/>
    <x v="4"/>
    <x v="290"/>
    <n v="175"/>
    <n v="4.4000000000000004"/>
    <n v="2024"/>
    <x v="1"/>
    <x v="0"/>
    <x v="2"/>
  </r>
  <r>
    <s v="Call_8183"/>
    <x v="13"/>
    <n v="82"/>
    <x v="0"/>
    <x v="290"/>
    <n v="172"/>
    <n v="4.0999999999999996"/>
    <n v="2024"/>
    <x v="1"/>
    <x v="0"/>
    <x v="2"/>
  </r>
  <r>
    <s v="Call_8184"/>
    <x v="9"/>
    <n v="91"/>
    <x v="2"/>
    <x v="290"/>
    <n v="108"/>
    <n v="3.8"/>
    <n v="2024"/>
    <x v="1"/>
    <x v="0"/>
    <x v="2"/>
  </r>
  <r>
    <s v="Call_8185"/>
    <x v="8"/>
    <n v="39"/>
    <x v="0"/>
    <x v="291"/>
    <n v="43"/>
    <n v="4.2"/>
    <n v="2024"/>
    <x v="2"/>
    <x v="2"/>
    <x v="2"/>
  </r>
  <r>
    <s v="Call_8186"/>
    <x v="6"/>
    <n v="149"/>
    <x v="1"/>
    <x v="291"/>
    <n v="44"/>
    <n v="2.2000000000000002"/>
    <n v="2024"/>
    <x v="2"/>
    <x v="1"/>
    <x v="3"/>
  </r>
  <r>
    <s v="Call_8187"/>
    <x v="13"/>
    <n v="138"/>
    <x v="4"/>
    <x v="291"/>
    <n v="105"/>
    <n v="3.9"/>
    <n v="2024"/>
    <x v="2"/>
    <x v="1"/>
    <x v="2"/>
  </r>
  <r>
    <s v="Call_8188"/>
    <x v="7"/>
    <n v="113"/>
    <x v="1"/>
    <x v="292"/>
    <n v="34"/>
    <n v="3.9"/>
    <n v="2024"/>
    <x v="3"/>
    <x v="0"/>
    <x v="2"/>
  </r>
  <r>
    <s v="Call_8189"/>
    <x v="4"/>
    <n v="88"/>
    <x v="0"/>
    <x v="292"/>
    <n v="220"/>
    <n v="4.0999999999999996"/>
    <n v="2024"/>
    <x v="3"/>
    <x v="0"/>
    <x v="2"/>
  </r>
  <r>
    <s v="Call_8190"/>
    <x v="0"/>
    <n v="64"/>
    <x v="4"/>
    <x v="292"/>
    <n v="225"/>
    <n v="4.5999999999999996"/>
    <n v="2024"/>
    <x v="3"/>
    <x v="0"/>
    <x v="0"/>
  </r>
  <r>
    <s v="Call_8191"/>
    <x v="2"/>
    <n v="53"/>
    <x v="4"/>
    <x v="293"/>
    <n v="37"/>
    <n v="4.0999999999999996"/>
    <n v="2024"/>
    <x v="4"/>
    <x v="2"/>
    <x v="2"/>
  </r>
  <r>
    <s v="Call_8192"/>
    <x v="12"/>
    <n v="63"/>
    <x v="1"/>
    <x v="293"/>
    <n v="44"/>
    <n v="5"/>
    <n v="2024"/>
    <x v="4"/>
    <x v="0"/>
    <x v="0"/>
  </r>
  <r>
    <s v="Call_8193"/>
    <x v="5"/>
    <n v="54"/>
    <x v="1"/>
    <x v="294"/>
    <n v="35"/>
    <n v="2.8"/>
    <n v="2024"/>
    <x v="5"/>
    <x v="2"/>
    <x v="1"/>
  </r>
  <r>
    <s v="Call_8194"/>
    <x v="12"/>
    <n v="54"/>
    <x v="0"/>
    <x v="294"/>
    <n v="145"/>
    <n v="2.7"/>
    <n v="2024"/>
    <x v="5"/>
    <x v="2"/>
    <x v="1"/>
  </r>
  <r>
    <s v="Call_8195"/>
    <x v="6"/>
    <n v="71"/>
    <x v="4"/>
    <x v="294"/>
    <n v="64"/>
    <n v="3.9"/>
    <n v="2024"/>
    <x v="5"/>
    <x v="0"/>
    <x v="2"/>
  </r>
  <r>
    <s v="Call_8196"/>
    <x v="12"/>
    <n v="93"/>
    <x v="0"/>
    <x v="295"/>
    <n v="185"/>
    <n v="4.3"/>
    <n v="2024"/>
    <x v="6"/>
    <x v="0"/>
    <x v="2"/>
  </r>
  <r>
    <s v="Call_8197"/>
    <x v="3"/>
    <n v="96"/>
    <x v="1"/>
    <x v="295"/>
    <n v="215"/>
    <n v="2.5"/>
    <n v="2024"/>
    <x v="6"/>
    <x v="0"/>
    <x v="1"/>
  </r>
  <r>
    <s v="Call_8198"/>
    <x v="8"/>
    <n v="31"/>
    <x v="2"/>
    <x v="295"/>
    <n v="88"/>
    <n v="3.4"/>
    <n v="2024"/>
    <x v="6"/>
    <x v="2"/>
    <x v="1"/>
  </r>
  <r>
    <s v="Call_8199"/>
    <x v="12"/>
    <n v="107"/>
    <x v="4"/>
    <x v="295"/>
    <n v="23"/>
    <n v="3.4"/>
    <n v="2024"/>
    <x v="6"/>
    <x v="0"/>
    <x v="1"/>
  </r>
  <r>
    <s v="Call_8200"/>
    <x v="2"/>
    <n v="50"/>
    <x v="2"/>
    <x v="296"/>
    <n v="180"/>
    <n v="1.8"/>
    <n v="2024"/>
    <x v="0"/>
    <x v="2"/>
    <x v="3"/>
  </r>
  <r>
    <s v="Call_8201"/>
    <x v="13"/>
    <n v="69"/>
    <x v="4"/>
    <x v="297"/>
    <n v="225"/>
    <n v="3.7"/>
    <n v="2024"/>
    <x v="1"/>
    <x v="0"/>
    <x v="2"/>
  </r>
  <r>
    <s v="Call_8202"/>
    <x v="4"/>
    <n v="26"/>
    <x v="1"/>
    <x v="298"/>
    <n v="74"/>
    <n v="4.0999999999999996"/>
    <n v="2024"/>
    <x v="2"/>
    <x v="3"/>
    <x v="2"/>
  </r>
  <r>
    <s v="Call_8203"/>
    <x v="3"/>
    <n v="158"/>
    <x v="4"/>
    <x v="298"/>
    <n v="36"/>
    <n v="3"/>
    <n v="2024"/>
    <x v="2"/>
    <x v="1"/>
    <x v="1"/>
  </r>
  <r>
    <s v="Call_8204"/>
    <x v="5"/>
    <n v="99"/>
    <x v="4"/>
    <x v="299"/>
    <n v="116"/>
    <n v="3.9"/>
    <n v="2024"/>
    <x v="4"/>
    <x v="0"/>
    <x v="2"/>
  </r>
  <r>
    <s v="Call_8205"/>
    <x v="3"/>
    <n v="78"/>
    <x v="2"/>
    <x v="299"/>
    <n v="140"/>
    <n v="4"/>
    <n v="2024"/>
    <x v="4"/>
    <x v="0"/>
    <x v="2"/>
  </r>
  <r>
    <s v="Call_8206"/>
    <x v="3"/>
    <n v="102"/>
    <x v="1"/>
    <x v="300"/>
    <n v="104"/>
    <n v="4.5"/>
    <n v="2024"/>
    <x v="5"/>
    <x v="0"/>
    <x v="0"/>
  </r>
  <r>
    <s v="Call_8207"/>
    <x v="5"/>
    <n v="158"/>
    <x v="3"/>
    <x v="300"/>
    <n v="148"/>
    <n v="4"/>
    <n v="2024"/>
    <x v="5"/>
    <x v="1"/>
    <x v="2"/>
  </r>
  <r>
    <s v="Call_8208"/>
    <x v="8"/>
    <n v="56"/>
    <x v="4"/>
    <x v="300"/>
    <n v="205"/>
    <n v="4.3"/>
    <n v="2024"/>
    <x v="5"/>
    <x v="2"/>
    <x v="2"/>
  </r>
  <r>
    <s v="Call_8209"/>
    <x v="1"/>
    <n v="17"/>
    <x v="0"/>
    <x v="300"/>
    <n v="210"/>
    <n v="4.8"/>
    <n v="2024"/>
    <x v="5"/>
    <x v="3"/>
    <x v="0"/>
  </r>
  <r>
    <s v="Call_8210"/>
    <x v="4"/>
    <n v="104"/>
    <x v="3"/>
    <x v="301"/>
    <n v="41"/>
    <n v="4.7"/>
    <n v="2024"/>
    <x v="0"/>
    <x v="0"/>
    <x v="0"/>
  </r>
  <r>
    <s v="Call_8211"/>
    <x v="11"/>
    <n v="96"/>
    <x v="2"/>
    <x v="301"/>
    <n v="136"/>
    <n v="5"/>
    <n v="2024"/>
    <x v="0"/>
    <x v="0"/>
    <x v="0"/>
  </r>
  <r>
    <s v="Call_8212"/>
    <x v="9"/>
    <n v="83"/>
    <x v="1"/>
    <x v="302"/>
    <n v="126"/>
    <n v="1.5"/>
    <n v="2024"/>
    <x v="1"/>
    <x v="0"/>
    <x v="3"/>
  </r>
  <r>
    <s v="Call_8213"/>
    <x v="2"/>
    <n v="80"/>
    <x v="0"/>
    <x v="303"/>
    <n v="148"/>
    <n v="4.0999999999999996"/>
    <n v="2024"/>
    <x v="2"/>
    <x v="0"/>
    <x v="2"/>
  </r>
  <r>
    <s v="Call_8214"/>
    <x v="9"/>
    <n v="152"/>
    <x v="1"/>
    <x v="303"/>
    <n v="125"/>
    <n v="3.9"/>
    <n v="2024"/>
    <x v="2"/>
    <x v="1"/>
    <x v="2"/>
  </r>
  <r>
    <s v="Call_8215"/>
    <x v="6"/>
    <n v="34"/>
    <x v="2"/>
    <x v="303"/>
    <n v="25"/>
    <n v="4.0999999999999996"/>
    <n v="2024"/>
    <x v="2"/>
    <x v="2"/>
    <x v="2"/>
  </r>
  <r>
    <s v="Call_8216"/>
    <x v="7"/>
    <n v="2"/>
    <x v="4"/>
    <x v="304"/>
    <n v="62"/>
    <n v="2.8"/>
    <n v="2024"/>
    <x v="3"/>
    <x v="4"/>
    <x v="1"/>
  </r>
  <r>
    <s v="Call_8217"/>
    <x v="2"/>
    <n v="140"/>
    <x v="2"/>
    <x v="305"/>
    <n v="90"/>
    <n v="4.5999999999999996"/>
    <n v="2024"/>
    <x v="4"/>
    <x v="1"/>
    <x v="0"/>
  </r>
  <r>
    <s v="Call_8218"/>
    <x v="1"/>
    <n v="126"/>
    <x v="3"/>
    <x v="306"/>
    <n v="33"/>
    <n v="4.8"/>
    <n v="2024"/>
    <x v="5"/>
    <x v="1"/>
    <x v="0"/>
  </r>
  <r>
    <s v="Call_8219"/>
    <x v="3"/>
    <n v="79"/>
    <x v="4"/>
    <x v="306"/>
    <n v="115"/>
    <n v="2.2999999999999998"/>
    <n v="2024"/>
    <x v="5"/>
    <x v="0"/>
    <x v="3"/>
  </r>
  <r>
    <s v="Call_8220"/>
    <x v="1"/>
    <n v="133"/>
    <x v="3"/>
    <x v="306"/>
    <n v="45"/>
    <n v="2.6"/>
    <n v="2024"/>
    <x v="5"/>
    <x v="1"/>
    <x v="1"/>
  </r>
  <r>
    <s v="Call_8221"/>
    <x v="6"/>
    <n v="97"/>
    <x v="0"/>
    <x v="306"/>
    <n v="114"/>
    <n v="4.8"/>
    <n v="2024"/>
    <x v="5"/>
    <x v="0"/>
    <x v="0"/>
  </r>
  <r>
    <s v="Call_8222"/>
    <x v="3"/>
    <n v="102"/>
    <x v="1"/>
    <x v="307"/>
    <n v="72"/>
    <n v="3.7"/>
    <n v="2024"/>
    <x v="6"/>
    <x v="0"/>
    <x v="2"/>
  </r>
  <r>
    <s v="Call_8223"/>
    <x v="10"/>
    <n v="62"/>
    <x v="0"/>
    <x v="307"/>
    <n v="205"/>
    <n v="4.2"/>
    <n v="2024"/>
    <x v="6"/>
    <x v="0"/>
    <x v="2"/>
  </r>
  <r>
    <s v="Call_8224"/>
    <x v="1"/>
    <n v="149"/>
    <x v="1"/>
    <x v="308"/>
    <n v="42"/>
    <n v="3.3"/>
    <n v="2024"/>
    <x v="0"/>
    <x v="1"/>
    <x v="1"/>
  </r>
  <r>
    <s v="Call_8225"/>
    <x v="7"/>
    <n v="133"/>
    <x v="0"/>
    <x v="308"/>
    <n v="96"/>
    <n v="4.3"/>
    <n v="2024"/>
    <x v="0"/>
    <x v="1"/>
    <x v="2"/>
  </r>
  <r>
    <s v="Call_8226"/>
    <x v="3"/>
    <n v="51"/>
    <x v="4"/>
    <x v="308"/>
    <n v="64"/>
    <n v="3.7"/>
    <n v="2024"/>
    <x v="0"/>
    <x v="2"/>
    <x v="2"/>
  </r>
  <r>
    <s v="Call_8227"/>
    <x v="10"/>
    <n v="110"/>
    <x v="0"/>
    <x v="309"/>
    <n v="72"/>
    <n v="3.7"/>
    <n v="2024"/>
    <x v="1"/>
    <x v="0"/>
    <x v="2"/>
  </r>
  <r>
    <s v="Call_8228"/>
    <x v="6"/>
    <n v="38"/>
    <x v="3"/>
    <x v="310"/>
    <n v="27"/>
    <n v="3.1"/>
    <n v="2024"/>
    <x v="2"/>
    <x v="2"/>
    <x v="1"/>
  </r>
  <r>
    <s v="Call_8229"/>
    <x v="7"/>
    <n v="78"/>
    <x v="3"/>
    <x v="311"/>
    <n v="200"/>
    <n v="2.4"/>
    <n v="2024"/>
    <x v="4"/>
    <x v="0"/>
    <x v="3"/>
  </r>
  <r>
    <s v="Call_8230"/>
    <x v="6"/>
    <n v="25"/>
    <x v="1"/>
    <x v="312"/>
    <n v="93"/>
    <n v="3.5"/>
    <n v="2024"/>
    <x v="5"/>
    <x v="3"/>
    <x v="2"/>
  </r>
  <r>
    <s v="Call_8231"/>
    <x v="12"/>
    <n v="50"/>
    <x v="4"/>
    <x v="312"/>
    <n v="54"/>
    <n v="4.3"/>
    <n v="2024"/>
    <x v="5"/>
    <x v="2"/>
    <x v="2"/>
  </r>
  <r>
    <s v="Call_8232"/>
    <x v="6"/>
    <n v="103"/>
    <x v="1"/>
    <x v="313"/>
    <n v="72"/>
    <n v="3.4"/>
    <n v="2024"/>
    <x v="6"/>
    <x v="0"/>
    <x v="1"/>
  </r>
  <r>
    <s v="Call_8233"/>
    <x v="9"/>
    <n v="63"/>
    <x v="2"/>
    <x v="313"/>
    <n v="82"/>
    <n v="3.7"/>
    <n v="2024"/>
    <x v="6"/>
    <x v="0"/>
    <x v="2"/>
  </r>
  <r>
    <s v="Call_8234"/>
    <x v="12"/>
    <n v="96"/>
    <x v="4"/>
    <x v="314"/>
    <n v="164"/>
    <n v="4.8"/>
    <n v="2024"/>
    <x v="3"/>
    <x v="0"/>
    <x v="0"/>
  </r>
  <r>
    <s v="Call_8235"/>
    <x v="2"/>
    <n v="94"/>
    <x v="1"/>
    <x v="314"/>
    <n v="78"/>
    <n v="3.3"/>
    <n v="2024"/>
    <x v="3"/>
    <x v="0"/>
    <x v="1"/>
  </r>
  <r>
    <s v="Call_8236"/>
    <x v="10"/>
    <n v="46"/>
    <x v="3"/>
    <x v="315"/>
    <n v="135"/>
    <n v="4.2"/>
    <n v="2024"/>
    <x v="4"/>
    <x v="2"/>
    <x v="2"/>
  </r>
  <r>
    <s v="Call_8237"/>
    <x v="14"/>
    <n v="127"/>
    <x v="4"/>
    <x v="316"/>
    <n v="145"/>
    <n v="2.6"/>
    <n v="2024"/>
    <x v="5"/>
    <x v="1"/>
    <x v="1"/>
  </r>
  <r>
    <s v="Call_8238"/>
    <x v="5"/>
    <n v="96"/>
    <x v="3"/>
    <x v="316"/>
    <n v="115"/>
    <n v="4.9000000000000004"/>
    <n v="2024"/>
    <x v="5"/>
    <x v="0"/>
    <x v="0"/>
  </r>
  <r>
    <s v="Call_8239"/>
    <x v="13"/>
    <n v="151"/>
    <x v="1"/>
    <x v="316"/>
    <n v="117"/>
    <n v="2"/>
    <n v="2024"/>
    <x v="5"/>
    <x v="1"/>
    <x v="3"/>
  </r>
  <r>
    <s v="Call_8240"/>
    <x v="14"/>
    <n v="158"/>
    <x v="0"/>
    <x v="317"/>
    <n v="36"/>
    <n v="4.7"/>
    <n v="2024"/>
    <x v="6"/>
    <x v="1"/>
    <x v="0"/>
  </r>
  <r>
    <s v="Call_8241"/>
    <x v="2"/>
    <n v="45"/>
    <x v="0"/>
    <x v="317"/>
    <n v="84"/>
    <n v="2.8"/>
    <n v="2024"/>
    <x v="6"/>
    <x v="2"/>
    <x v="1"/>
  </r>
  <r>
    <s v="Call_8242"/>
    <x v="8"/>
    <n v="141"/>
    <x v="0"/>
    <x v="317"/>
    <n v="66"/>
    <n v="3.2"/>
    <n v="2024"/>
    <x v="6"/>
    <x v="1"/>
    <x v="1"/>
  </r>
  <r>
    <s v="Call_8243"/>
    <x v="6"/>
    <n v="147"/>
    <x v="3"/>
    <x v="317"/>
    <n v="76"/>
    <n v="4.7"/>
    <n v="2024"/>
    <x v="6"/>
    <x v="1"/>
    <x v="0"/>
  </r>
  <r>
    <s v="Call_8244"/>
    <x v="11"/>
    <n v="126"/>
    <x v="3"/>
    <x v="317"/>
    <n v="185"/>
    <n v="4.8"/>
    <n v="2024"/>
    <x v="6"/>
    <x v="1"/>
    <x v="0"/>
  </r>
  <r>
    <s v="Call_8245"/>
    <x v="2"/>
    <n v="126"/>
    <x v="2"/>
    <x v="318"/>
    <n v="80"/>
    <n v="4.7"/>
    <n v="2024"/>
    <x v="0"/>
    <x v="1"/>
    <x v="0"/>
  </r>
  <r>
    <s v="Call_8246"/>
    <x v="7"/>
    <n v="32"/>
    <x v="3"/>
    <x v="318"/>
    <n v="148"/>
    <n v="4"/>
    <n v="2024"/>
    <x v="0"/>
    <x v="2"/>
    <x v="2"/>
  </r>
  <r>
    <s v="Call_8247"/>
    <x v="2"/>
    <n v="84"/>
    <x v="4"/>
    <x v="319"/>
    <n v="180"/>
    <n v="4.9000000000000004"/>
    <n v="2024"/>
    <x v="2"/>
    <x v="0"/>
    <x v="0"/>
  </r>
  <r>
    <s v="Call_8248"/>
    <x v="9"/>
    <n v="120"/>
    <x v="2"/>
    <x v="320"/>
    <n v="190"/>
    <n v="3.7"/>
    <n v="2024"/>
    <x v="3"/>
    <x v="1"/>
    <x v="2"/>
  </r>
  <r>
    <s v="Call_8249"/>
    <x v="4"/>
    <n v="93"/>
    <x v="3"/>
    <x v="320"/>
    <n v="38"/>
    <n v="4.5"/>
    <n v="2024"/>
    <x v="3"/>
    <x v="0"/>
    <x v="0"/>
  </r>
  <r>
    <s v="Call_8250"/>
    <x v="5"/>
    <n v="76"/>
    <x v="1"/>
    <x v="321"/>
    <n v="82"/>
    <n v="2.1"/>
    <n v="2024"/>
    <x v="4"/>
    <x v="0"/>
    <x v="3"/>
  </r>
  <r>
    <s v="Call_8251"/>
    <x v="14"/>
    <n v="89"/>
    <x v="3"/>
    <x v="322"/>
    <n v="88"/>
    <n v="2.8"/>
    <n v="2024"/>
    <x v="0"/>
    <x v="0"/>
    <x v="1"/>
  </r>
  <r>
    <s v="Call_8252"/>
    <x v="3"/>
    <n v="91"/>
    <x v="4"/>
    <x v="322"/>
    <n v="42"/>
    <n v="4.0999999999999996"/>
    <n v="2024"/>
    <x v="0"/>
    <x v="0"/>
    <x v="2"/>
  </r>
  <r>
    <s v="Call_8253"/>
    <x v="10"/>
    <n v="7"/>
    <x v="0"/>
    <x v="323"/>
    <n v="64"/>
    <n v="3.3"/>
    <n v="2024"/>
    <x v="1"/>
    <x v="4"/>
    <x v="1"/>
  </r>
  <r>
    <s v="Call_8254"/>
    <x v="7"/>
    <n v="140"/>
    <x v="0"/>
    <x v="323"/>
    <n v="105"/>
    <n v="1.7"/>
    <n v="2024"/>
    <x v="1"/>
    <x v="1"/>
    <x v="3"/>
  </r>
  <r>
    <s v="Call_8255"/>
    <x v="1"/>
    <n v="58"/>
    <x v="2"/>
    <x v="323"/>
    <n v="25"/>
    <n v="3.6"/>
    <n v="2024"/>
    <x v="1"/>
    <x v="2"/>
    <x v="2"/>
  </r>
  <r>
    <s v="Call_8256"/>
    <x v="0"/>
    <n v="90"/>
    <x v="1"/>
    <x v="324"/>
    <n v="176"/>
    <n v="3.6"/>
    <n v="2024"/>
    <x v="2"/>
    <x v="0"/>
    <x v="2"/>
  </r>
  <r>
    <s v="Call_8257"/>
    <x v="0"/>
    <n v="106"/>
    <x v="3"/>
    <x v="325"/>
    <n v="46"/>
    <n v="4.5999999999999996"/>
    <n v="2024"/>
    <x v="3"/>
    <x v="0"/>
    <x v="0"/>
  </r>
  <r>
    <s v="Call_8258"/>
    <x v="9"/>
    <n v="72"/>
    <x v="0"/>
    <x v="325"/>
    <n v="164"/>
    <n v="4.8"/>
    <n v="2024"/>
    <x v="3"/>
    <x v="0"/>
    <x v="0"/>
  </r>
  <r>
    <s v="Call_8259"/>
    <x v="10"/>
    <n v="124"/>
    <x v="0"/>
    <x v="326"/>
    <n v="64"/>
    <n v="4.5"/>
    <n v="2024"/>
    <x v="4"/>
    <x v="1"/>
    <x v="0"/>
  </r>
  <r>
    <s v="Call_8260"/>
    <x v="8"/>
    <n v="86"/>
    <x v="4"/>
    <x v="326"/>
    <n v="205"/>
    <n v="4.5"/>
    <n v="2024"/>
    <x v="4"/>
    <x v="0"/>
    <x v="0"/>
  </r>
  <r>
    <s v="Call_8261"/>
    <x v="2"/>
    <n v="164"/>
    <x v="4"/>
    <x v="327"/>
    <n v="100"/>
    <n v="4.5999999999999996"/>
    <n v="2024"/>
    <x v="5"/>
    <x v="1"/>
    <x v="0"/>
  </r>
  <r>
    <s v="Call_8262"/>
    <x v="4"/>
    <n v="40"/>
    <x v="1"/>
    <x v="327"/>
    <n v="111"/>
    <n v="4.5999999999999996"/>
    <n v="2024"/>
    <x v="5"/>
    <x v="2"/>
    <x v="0"/>
  </r>
  <r>
    <s v="Call_8263"/>
    <x v="3"/>
    <n v="76"/>
    <x v="2"/>
    <x v="327"/>
    <n v="80"/>
    <n v="3.5"/>
    <n v="2024"/>
    <x v="5"/>
    <x v="0"/>
    <x v="2"/>
  </r>
  <r>
    <s v="Call_8264"/>
    <x v="10"/>
    <n v="95"/>
    <x v="3"/>
    <x v="327"/>
    <n v="50"/>
    <n v="2.9"/>
    <n v="2024"/>
    <x v="5"/>
    <x v="0"/>
    <x v="1"/>
  </r>
  <r>
    <s v="Call_8265"/>
    <x v="3"/>
    <n v="113"/>
    <x v="0"/>
    <x v="328"/>
    <n v="165"/>
    <n v="4.7"/>
    <n v="2024"/>
    <x v="6"/>
    <x v="0"/>
    <x v="0"/>
  </r>
  <r>
    <s v="Call_8266"/>
    <x v="8"/>
    <n v="81"/>
    <x v="0"/>
    <x v="328"/>
    <n v="28"/>
    <n v="3.9"/>
    <n v="2024"/>
    <x v="6"/>
    <x v="0"/>
    <x v="2"/>
  </r>
  <r>
    <s v="Call_8267"/>
    <x v="5"/>
    <n v="127"/>
    <x v="3"/>
    <x v="328"/>
    <n v="215"/>
    <n v="3.8"/>
    <n v="2024"/>
    <x v="6"/>
    <x v="1"/>
    <x v="2"/>
  </r>
  <r>
    <s v="Call_8268"/>
    <x v="7"/>
    <n v="146"/>
    <x v="0"/>
    <x v="329"/>
    <n v="115"/>
    <n v="2.2999999999999998"/>
    <n v="2024"/>
    <x v="0"/>
    <x v="1"/>
    <x v="3"/>
  </r>
  <r>
    <s v="Call_8269"/>
    <x v="6"/>
    <n v="123"/>
    <x v="0"/>
    <x v="329"/>
    <n v="64"/>
    <n v="3.7"/>
    <n v="2024"/>
    <x v="0"/>
    <x v="1"/>
    <x v="2"/>
  </r>
  <r>
    <s v="Call_8270"/>
    <x v="9"/>
    <n v="114"/>
    <x v="2"/>
    <x v="329"/>
    <n v="40"/>
    <n v="3.9"/>
    <n v="2024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5543C-9A58-45ED-9202-7E482E19B8C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" firstHeaderRow="0" firstDataRow="1" firstDataCol="1"/>
  <pivotFields count="13">
    <pivotField dataField="1" showAll="0"/>
    <pivotField axis="axisRow" showAll="0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showAll="0"/>
    <pivotField showAll="0"/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ll number" fld="0" subtotal="count" baseField="0" baseItem="0"/>
    <dataField name="Sum of Purchase Amount" fld="5" baseField="0" baseItem="0"/>
  </dataFields>
  <conditionalFormats count="3">
    <conditionalFormat scope="field" priority="3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1" count="0" selected="0"/>
          </references>
        </pivotArea>
      </pivotAreas>
    </conditionalFormat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1" count="0" selected="0"/>
          </references>
        </pivotArea>
      </pivotAreas>
    </conditionalFormat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1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58D7B-958D-4CAB-900C-ED1CF5D98DB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G17" firstHeaderRow="1" firstDataRow="2" firstDataCol="1"/>
  <pivotFields count="13">
    <pivotField showAll="0"/>
    <pivotField showAll="0"/>
    <pivotField showAll="0"/>
    <pivotField axis="axisCol" showAll="0">
      <items count="6">
        <item x="2"/>
        <item x="1"/>
        <item x="4"/>
        <item x="3"/>
        <item x="0"/>
        <item t="default"/>
      </items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dataField="1" showAll="0"/>
    <pivotField showAll="0"/>
    <pivotField showAll="0"/>
    <pivotField showAll="0"/>
    <pivotField showAll="0">
      <items count="7">
        <item x="4"/>
        <item x="5"/>
        <item x="3"/>
        <item x="1"/>
        <item x="2"/>
        <item x="0"/>
        <item t="default"/>
      </items>
    </pivotField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Satisfaction Rating" fld="6" subtotal="average" baseField="0" baseItem="0" numFmtId="2"/>
  </dataFields>
  <formats count="1">
    <format dxfId="14">
      <pivotArea outline="0" collapsedLevelsAreSubtotals="1" fieldPosition="0"/>
    </format>
  </format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12" count="0" selected="0"/>
          </references>
        </pivotArea>
      </pivotAreas>
    </conditionalFormat>
  </conditionalFormats>
  <chartFormats count="5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11A587-E48D-43A4-A23E-A3CA3A1CA0BC}" name="Table13" displayName="Table13" ref="A4:K1004" totalsRowShown="0" headerRowBorderDxfId="12" tableBorderDxfId="13" totalsRowBorderDxfId="11">
  <autoFilter ref="A4:K1004" xr:uid="{A411A587-E48D-43A4-A23E-A3CA3A1CA0BC}"/>
  <tableColumns count="11">
    <tableColumn id="1" xr3:uid="{7C26C779-259C-40F1-9C24-512148B86EC0}" name="Call number" dataDxfId="10"/>
    <tableColumn id="2" xr3:uid="{E9DE0533-AB45-4F85-8366-B9ED664FBF0B}" name="Customer ID" dataDxfId="9"/>
    <tableColumn id="3" xr3:uid="{DB95B736-E2E9-4E5A-BD90-1A051957E61B}" name="Duration" dataDxfId="8"/>
    <tableColumn id="4" xr3:uid="{4D57C117-0016-4DB0-9600-611FA0E09D28}" name="Representative" dataDxfId="7"/>
    <tableColumn id="5" xr3:uid="{8A3CB88C-09B6-4066-87C9-7B0DC94DEC8A}" name="Date of Call" dataDxfId="6"/>
    <tableColumn id="6" xr3:uid="{524232B5-A92D-421E-BBE9-05BCF6290122}" name="Purchase Amount" dataDxfId="5"/>
    <tableColumn id="7" xr3:uid="{537ACC30-5FBF-4B07-9B8A-4213A345DF8C}" name="Satisfaction Rating" dataDxfId="4"/>
    <tableColumn id="8" xr3:uid="{3866398E-0ACB-49CF-9E6C-1B99D46B28C1}" name="FY" dataDxfId="3">
      <calculatedColumnFormula>IF(MONTH(Table13[[#This Row],[Date of Call]])&lt;6, YEAR(Table13[[#This Row],[Date of Call]]),YEAR(Table13[[#This Row],[Date of Call]])+1)</calculatedColumnFormula>
    </tableColumn>
    <tableColumn id="9" xr3:uid="{3AA8E75A-3D57-431B-A43E-B4964DBD4851}" name="Day of Week" dataDxfId="2">
      <calculatedColumnFormula>TEXT(Table13[[#This Row],[Date of Call]],"dddd")</calculatedColumnFormula>
    </tableColumn>
    <tableColumn id="10" xr3:uid="{614F5344-DA97-4AF5-97AC-D4F11370A553}" name="Duration Bucket" dataDxfId="1">
      <calculatedColumnFormula>_xlfn.IFS(Table13[[#This Row],[Duration]]&lt;10,"Under 10 mins",Table13[[#This Row],[Duration]]&lt;30,"10 to 30 mins",Table13[[#This Row],[Duration]]&lt;60,"30 to 60 mins",Table13[[#This Row],[Duration]]&lt;120,"1 to 2 hours",TRUE,"More than 2 hours")</calculatedColumnFormula>
    </tableColumn>
    <tableColumn id="11" xr3:uid="{3D01B0A7-2305-4C32-846C-A4D45F5AF684}" name="Rating Rounded" dataDxfId="0">
      <calculatedColumnFormula>ROUND(Table13[[#This Row],[Satisfaction Rating]],0)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74ED-FB14-458E-90E4-68CF109F01B8}">
  <dimension ref="A1:L50"/>
  <sheetViews>
    <sheetView workbookViewId="0">
      <selection sqref="A1:XFD1048576"/>
    </sheetView>
  </sheetViews>
  <sheetFormatPr defaultRowHeight="14.4" x14ac:dyDescent="0.3"/>
  <cols>
    <col min="1" max="1" width="12.5546875" bestFit="1" customWidth="1"/>
    <col min="2" max="2" width="19.109375" bestFit="1" customWidth="1"/>
    <col min="3" max="3" width="22.77734375" bestFit="1" customWidth="1"/>
    <col min="4" max="4" width="24.5546875" customWidth="1"/>
    <col min="5" max="5" width="14" customWidth="1"/>
    <col min="6" max="6" width="10.77734375" customWidth="1"/>
    <col min="7" max="30" width="22.77734375" bestFit="1" customWidth="1"/>
    <col min="31" max="31" width="23.88671875" bestFit="1" customWidth="1"/>
    <col min="32" max="32" width="27.5546875" bestFit="1" customWidth="1"/>
  </cols>
  <sheetData>
    <row r="1" spans="1:12" ht="22.2" customHeight="1" x14ac:dyDescent="0.3">
      <c r="C1" s="1"/>
      <c r="D1" s="1"/>
      <c r="E1" s="2" t="s">
        <v>0</v>
      </c>
      <c r="F1" s="1"/>
      <c r="G1" s="1"/>
      <c r="H1" s="1"/>
      <c r="I1" s="1"/>
      <c r="J1" s="1"/>
      <c r="K1" s="1"/>
      <c r="L1" s="1"/>
    </row>
    <row r="3" spans="1:12" x14ac:dyDescent="0.3">
      <c r="A3" s="10" t="s">
        <v>1</v>
      </c>
      <c r="B3" s="10" t="s">
        <v>2</v>
      </c>
      <c r="C3" t="s">
        <v>3</v>
      </c>
    </row>
    <row r="4" spans="1:12" x14ac:dyDescent="0.3">
      <c r="A4" s="3" t="s">
        <v>4</v>
      </c>
      <c r="B4">
        <v>65</v>
      </c>
      <c r="C4">
        <v>6785</v>
      </c>
    </row>
    <row r="5" spans="1:12" x14ac:dyDescent="0.3">
      <c r="A5" s="3" t="s">
        <v>5</v>
      </c>
      <c r="B5">
        <v>63</v>
      </c>
      <c r="C5">
        <v>5634</v>
      </c>
    </row>
    <row r="6" spans="1:12" x14ac:dyDescent="0.3">
      <c r="A6" s="3" t="s">
        <v>6</v>
      </c>
      <c r="B6">
        <v>50</v>
      </c>
      <c r="C6">
        <v>4804</v>
      </c>
    </row>
    <row r="7" spans="1:12" x14ac:dyDescent="0.3">
      <c r="A7" s="3" t="s">
        <v>7</v>
      </c>
      <c r="B7">
        <v>82</v>
      </c>
      <c r="C7">
        <v>7689</v>
      </c>
    </row>
    <row r="8" spans="1:12" x14ac:dyDescent="0.3">
      <c r="A8" s="3" t="s">
        <v>8</v>
      </c>
      <c r="B8">
        <v>79</v>
      </c>
      <c r="C8">
        <v>7747</v>
      </c>
    </row>
    <row r="9" spans="1:12" x14ac:dyDescent="0.3">
      <c r="A9" s="3" t="s">
        <v>9</v>
      </c>
      <c r="B9">
        <v>62</v>
      </c>
      <c r="C9">
        <v>6176</v>
      </c>
    </row>
    <row r="10" spans="1:12" x14ac:dyDescent="0.3">
      <c r="A10" s="3" t="s">
        <v>10</v>
      </c>
      <c r="B10">
        <v>67</v>
      </c>
      <c r="C10">
        <v>7216</v>
      </c>
    </row>
    <row r="11" spans="1:12" x14ac:dyDescent="0.3">
      <c r="A11" s="3" t="s">
        <v>11</v>
      </c>
      <c r="B11">
        <v>59</v>
      </c>
      <c r="C11">
        <v>5009</v>
      </c>
    </row>
    <row r="12" spans="1:12" x14ac:dyDescent="0.3">
      <c r="A12" s="3" t="s">
        <v>12</v>
      </c>
      <c r="B12">
        <v>69</v>
      </c>
      <c r="C12">
        <v>6601</v>
      </c>
    </row>
    <row r="13" spans="1:12" x14ac:dyDescent="0.3">
      <c r="A13" s="3" t="s">
        <v>13</v>
      </c>
      <c r="B13">
        <v>72</v>
      </c>
      <c r="C13">
        <v>6242</v>
      </c>
    </row>
    <row r="14" spans="1:12" x14ac:dyDescent="0.3">
      <c r="A14" s="3" t="s">
        <v>14</v>
      </c>
      <c r="B14">
        <v>74</v>
      </c>
      <c r="C14">
        <v>6749</v>
      </c>
    </row>
    <row r="15" spans="1:12" x14ac:dyDescent="0.3">
      <c r="A15" s="3" t="s">
        <v>15</v>
      </c>
      <c r="B15">
        <v>70</v>
      </c>
      <c r="C15">
        <v>6819</v>
      </c>
    </row>
    <row r="16" spans="1:12" x14ac:dyDescent="0.3">
      <c r="A16" s="3" t="s">
        <v>16</v>
      </c>
      <c r="B16">
        <v>69</v>
      </c>
      <c r="C16">
        <v>7230</v>
      </c>
    </row>
    <row r="17" spans="1:5" x14ac:dyDescent="0.3">
      <c r="A17" s="3" t="s">
        <v>17</v>
      </c>
      <c r="B17">
        <v>60</v>
      </c>
      <c r="C17">
        <v>5404</v>
      </c>
    </row>
    <row r="18" spans="1:5" x14ac:dyDescent="0.3">
      <c r="A18" s="3" t="s">
        <v>18</v>
      </c>
      <c r="B18">
        <v>59</v>
      </c>
      <c r="C18">
        <v>6518</v>
      </c>
    </row>
    <row r="19" spans="1:5" x14ac:dyDescent="0.3">
      <c r="A19" s="3" t="s">
        <v>19</v>
      </c>
      <c r="B19">
        <v>1000</v>
      </c>
      <c r="C19">
        <v>96623</v>
      </c>
    </row>
    <row r="27" spans="1:5" x14ac:dyDescent="0.3">
      <c r="B27" s="4" t="s">
        <v>1</v>
      </c>
      <c r="C27" s="4" t="s">
        <v>2</v>
      </c>
      <c r="D27" s="4" t="s">
        <v>3</v>
      </c>
      <c r="E27" s="5" t="s">
        <v>20</v>
      </c>
    </row>
    <row r="28" spans="1:5" x14ac:dyDescent="0.3">
      <c r="B28" s="6" t="s">
        <v>4</v>
      </c>
      <c r="C28" s="6">
        <v>65</v>
      </c>
      <c r="D28" s="6">
        <v>6785</v>
      </c>
      <c r="E28" s="7" t="str">
        <f>_xlfn.IFS(AND(C28&gt;=$C$45, D28&gt;=$D$45), "VIP",AND(C28&gt;=$C$45, D28&lt;=$D$45),"TimeWasters",AND(C28&lt;=$C$45, D28&lt;=$D$45),"Low Value",TRUE,"Ideal")</f>
        <v>Ideal</v>
      </c>
    </row>
    <row r="29" spans="1:5" x14ac:dyDescent="0.3">
      <c r="B29" s="6" t="s">
        <v>5</v>
      </c>
      <c r="C29" s="6">
        <v>63</v>
      </c>
      <c r="D29" s="6">
        <v>5634</v>
      </c>
      <c r="E29" s="7" t="str">
        <f t="shared" ref="E29:E42" si="0">_xlfn.IFS(AND(C29&gt;=$C$45, D29&gt;=$D$45), "VIP",AND(C29&gt;=$C$45, D29&lt;=$D$45),"TimeWasters",AND(C29&lt;=$C$45, D29&lt;=$D$45),"Low Value",TRUE,"Ideal")</f>
        <v>Low Value</v>
      </c>
    </row>
    <row r="30" spans="1:5" x14ac:dyDescent="0.3">
      <c r="B30" s="6" t="s">
        <v>6</v>
      </c>
      <c r="C30" s="6">
        <v>50</v>
      </c>
      <c r="D30" s="6">
        <v>4804</v>
      </c>
      <c r="E30" s="7" t="str">
        <f t="shared" si="0"/>
        <v>Low Value</v>
      </c>
    </row>
    <row r="31" spans="1:5" x14ac:dyDescent="0.3">
      <c r="B31" s="6" t="s">
        <v>7</v>
      </c>
      <c r="C31" s="6">
        <v>82</v>
      </c>
      <c r="D31" s="6">
        <v>7689</v>
      </c>
      <c r="E31" s="7" t="str">
        <f t="shared" si="0"/>
        <v>VIP</v>
      </c>
    </row>
    <row r="32" spans="1:5" x14ac:dyDescent="0.3">
      <c r="B32" s="6" t="s">
        <v>8</v>
      </c>
      <c r="C32" s="6">
        <v>79</v>
      </c>
      <c r="D32" s="6">
        <v>7747</v>
      </c>
      <c r="E32" s="7" t="str">
        <f t="shared" si="0"/>
        <v>VIP</v>
      </c>
    </row>
    <row r="33" spans="2:8" x14ac:dyDescent="0.3">
      <c r="B33" s="6" t="s">
        <v>9</v>
      </c>
      <c r="C33" s="6">
        <v>62</v>
      </c>
      <c r="D33" s="6">
        <v>6176</v>
      </c>
      <c r="E33" s="7" t="str">
        <f t="shared" si="0"/>
        <v>Low Value</v>
      </c>
      <c r="G33" s="8" t="s">
        <v>13</v>
      </c>
      <c r="H33" s="8" t="s">
        <v>21</v>
      </c>
    </row>
    <row r="34" spans="2:8" x14ac:dyDescent="0.3">
      <c r="B34" s="6" t="s">
        <v>10</v>
      </c>
      <c r="C34" s="6">
        <v>67</v>
      </c>
      <c r="D34" s="6">
        <v>7216</v>
      </c>
      <c r="E34" s="7" t="str">
        <f t="shared" si="0"/>
        <v>VIP</v>
      </c>
    </row>
    <row r="35" spans="2:8" x14ac:dyDescent="0.3">
      <c r="B35" s="6" t="s">
        <v>11</v>
      </c>
      <c r="C35" s="6">
        <v>59</v>
      </c>
      <c r="D35" s="6">
        <v>5009</v>
      </c>
      <c r="E35" s="7" t="str">
        <f t="shared" si="0"/>
        <v>Low Value</v>
      </c>
    </row>
    <row r="36" spans="2:8" x14ac:dyDescent="0.3">
      <c r="B36" s="6" t="s">
        <v>12</v>
      </c>
      <c r="C36" s="6">
        <v>69</v>
      </c>
      <c r="D36" s="6">
        <v>6601</v>
      </c>
      <c r="E36" s="7" t="str">
        <f t="shared" si="0"/>
        <v>VIP</v>
      </c>
    </row>
    <row r="37" spans="2:8" x14ac:dyDescent="0.3">
      <c r="B37" s="6" t="s">
        <v>13</v>
      </c>
      <c r="C37" s="6">
        <v>72</v>
      </c>
      <c r="D37" s="6">
        <v>6242</v>
      </c>
      <c r="E37" s="7" t="str">
        <f t="shared" si="0"/>
        <v>TimeWasters</v>
      </c>
    </row>
    <row r="38" spans="2:8" x14ac:dyDescent="0.3">
      <c r="B38" s="6" t="s">
        <v>14</v>
      </c>
      <c r="C38" s="6">
        <v>74</v>
      </c>
      <c r="D38" s="6">
        <v>6749</v>
      </c>
      <c r="E38" s="7" t="str">
        <f t="shared" si="0"/>
        <v>VIP</v>
      </c>
    </row>
    <row r="39" spans="2:8" x14ac:dyDescent="0.3">
      <c r="B39" s="6" t="s">
        <v>15</v>
      </c>
      <c r="C39" s="6">
        <v>70</v>
      </c>
      <c r="D39" s="6">
        <v>6819</v>
      </c>
      <c r="E39" s="7" t="str">
        <f t="shared" si="0"/>
        <v>VIP</v>
      </c>
    </row>
    <row r="40" spans="2:8" x14ac:dyDescent="0.3">
      <c r="B40" s="6" t="s">
        <v>16</v>
      </c>
      <c r="C40" s="6">
        <v>69</v>
      </c>
      <c r="D40" s="6">
        <v>7230</v>
      </c>
      <c r="E40" s="7" t="str">
        <f t="shared" si="0"/>
        <v>VIP</v>
      </c>
    </row>
    <row r="41" spans="2:8" x14ac:dyDescent="0.3">
      <c r="B41" s="6" t="s">
        <v>17</v>
      </c>
      <c r="C41" s="6">
        <v>60</v>
      </c>
      <c r="D41" s="6">
        <v>5404</v>
      </c>
      <c r="E41" s="7" t="str">
        <f t="shared" si="0"/>
        <v>Low Value</v>
      </c>
    </row>
    <row r="42" spans="2:8" x14ac:dyDescent="0.3">
      <c r="B42" s="6" t="s">
        <v>18</v>
      </c>
      <c r="C42" s="6">
        <v>59</v>
      </c>
      <c r="D42" s="6">
        <v>6518</v>
      </c>
      <c r="E42" s="7" t="str">
        <f t="shared" si="0"/>
        <v>Ideal</v>
      </c>
    </row>
    <row r="43" spans="2:8" x14ac:dyDescent="0.3">
      <c r="B43" s="6" t="s">
        <v>19</v>
      </c>
      <c r="C43" s="6">
        <v>1000</v>
      </c>
      <c r="D43" s="6">
        <v>96623</v>
      </c>
      <c r="E43" s="9"/>
    </row>
    <row r="45" spans="2:8" x14ac:dyDescent="0.3">
      <c r="B45" t="s">
        <v>22</v>
      </c>
      <c r="C45">
        <f>AVERAGE(C28:C42)</f>
        <v>66.666666666666671</v>
      </c>
      <c r="D45">
        <f xml:space="preserve"> AVERAGE(D28:D42)</f>
        <v>6441.5333333333338</v>
      </c>
      <c r="G45">
        <v>66.66</v>
      </c>
      <c r="H45">
        <v>4804</v>
      </c>
    </row>
    <row r="46" spans="2:8" x14ac:dyDescent="0.3">
      <c r="B46" t="s">
        <v>23</v>
      </c>
      <c r="C46">
        <f>MIN(C28:C42)</f>
        <v>50</v>
      </c>
      <c r="D46">
        <f>MIN(D28:D42)</f>
        <v>4804</v>
      </c>
      <c r="G46">
        <v>66.66</v>
      </c>
      <c r="H46">
        <v>7747</v>
      </c>
    </row>
    <row r="47" spans="2:8" x14ac:dyDescent="0.3">
      <c r="B47" t="s">
        <v>24</v>
      </c>
      <c r="C47">
        <f>MAX(C28:C42)</f>
        <v>82</v>
      </c>
      <c r="D47">
        <f>MAX(D28:D42)</f>
        <v>7747</v>
      </c>
    </row>
    <row r="49" spans="7:8" x14ac:dyDescent="0.3">
      <c r="G49">
        <v>50</v>
      </c>
      <c r="H49">
        <v>6441.53</v>
      </c>
    </row>
    <row r="50" spans="7:8" x14ac:dyDescent="0.3">
      <c r="G50">
        <v>82</v>
      </c>
      <c r="H50">
        <v>6441.53</v>
      </c>
    </row>
  </sheetData>
  <conditionalFormatting sqref="H31:H32 H34:H4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{DD08315C-9CF0-4D0D-B3AB-CAC4C5A7CF26}</x14:id>
        </ext>
      </extLst>
    </cfRule>
  </conditionalFormatting>
  <conditionalFormatting sqref="G31:G32 G34:G44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{F9A2AC9F-1080-4407-93B0-5C4DED6AFBA2}</x14:id>
        </ext>
      </extLst>
    </cfRule>
  </conditionalFormatting>
  <conditionalFormatting pivot="1" sqref="B4:B18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C4:C18">
    <cfRule type="colorScale" priority="2">
      <colorScale>
        <cfvo type="min"/>
        <cfvo type="max"/>
        <color rgb="FFF8696B"/>
        <color rgb="FFFCFCFF"/>
      </colorScale>
    </cfRule>
  </conditionalFormatting>
  <conditionalFormatting pivot="1" sqref="C4:C1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08315C-9CF0-4D0D-B3AB-CAC4C5A7CF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H31:H32 H34:H45</xm:sqref>
        </x14:conditionalFormatting>
        <x14:conditionalFormatting xmlns:xm="http://schemas.microsoft.com/office/excel/2006/main">
          <x14:cfRule type="dataBar" id="{F9A2AC9F-1080-4407-93B0-5C4DED6AF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G31:G32 G34:G44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F87B-944B-413F-A546-C21CD8CDE901}">
  <dimension ref="A1:Q22"/>
  <sheetViews>
    <sheetView tabSelected="1" workbookViewId="0">
      <selection activeCell="L14" sqref="L14"/>
    </sheetView>
  </sheetViews>
  <sheetFormatPr defaultRowHeight="14.4" x14ac:dyDescent="0.3"/>
  <cols>
    <col min="1" max="1" width="26.5546875" bestFit="1" customWidth="1"/>
    <col min="2" max="2" width="15.5546875" bestFit="1" customWidth="1"/>
    <col min="3" max="7" width="12" bestFit="1" customWidth="1"/>
    <col min="8" max="8" width="10.77734375" bestFit="1" customWidth="1"/>
    <col min="9" max="13" width="11.77734375" customWidth="1"/>
    <col min="14" max="14" width="10.77734375" bestFit="1" customWidth="1"/>
  </cols>
  <sheetData>
    <row r="1" spans="1:17" ht="18" x14ac:dyDescent="0.35">
      <c r="C1" s="1"/>
      <c r="D1" s="1"/>
      <c r="E1" s="11" t="s">
        <v>25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1:17" x14ac:dyDescent="0.3">
      <c r="A3" s="10" t="s">
        <v>26</v>
      </c>
      <c r="B3" s="10" t="s">
        <v>27</v>
      </c>
    </row>
    <row r="4" spans="1:17" x14ac:dyDescent="0.3">
      <c r="A4" s="10" t="s">
        <v>1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19</v>
      </c>
    </row>
    <row r="5" spans="1:17" x14ac:dyDescent="0.3">
      <c r="A5" s="3" t="s">
        <v>33</v>
      </c>
      <c r="B5" s="12">
        <v>3.9750000000000001</v>
      </c>
      <c r="C5" s="12">
        <v>3.736842105263158</v>
      </c>
      <c r="D5" s="12">
        <v>3.4538461538461531</v>
      </c>
      <c r="E5" s="12">
        <v>3.8600000000000003</v>
      </c>
      <c r="F5" s="12">
        <v>4.1476190476190471</v>
      </c>
      <c r="G5" s="12">
        <v>3.8632911392405083</v>
      </c>
    </row>
    <row r="6" spans="1:17" x14ac:dyDescent="0.3">
      <c r="A6" s="3" t="s">
        <v>34</v>
      </c>
      <c r="B6" s="12">
        <v>3.5642857142857141</v>
      </c>
      <c r="C6" s="12">
        <v>4.3099999999999987</v>
      </c>
      <c r="D6" s="12">
        <v>3.8000000000000003</v>
      </c>
      <c r="E6" s="12">
        <v>3.8727272727272721</v>
      </c>
      <c r="F6" s="12">
        <v>3.6999999999999997</v>
      </c>
      <c r="G6" s="12">
        <v>3.812121212121212</v>
      </c>
    </row>
    <row r="7" spans="1:17" x14ac:dyDescent="0.3">
      <c r="A7" s="3" t="s">
        <v>35</v>
      </c>
      <c r="B7" s="12">
        <v>4.0192307692307683</v>
      </c>
      <c r="C7" s="12">
        <v>3.9799999999999991</v>
      </c>
      <c r="D7" s="12">
        <v>3.8071428571428574</v>
      </c>
      <c r="E7" s="12">
        <v>4.0200000000000005</v>
      </c>
      <c r="F7" s="12">
        <v>3.7387096774193553</v>
      </c>
      <c r="G7" s="12">
        <v>3.9148387096774182</v>
      </c>
    </row>
    <row r="8" spans="1:17" x14ac:dyDescent="0.3">
      <c r="A8" s="3" t="s">
        <v>36</v>
      </c>
      <c r="B8" s="12">
        <v>3.920689655172414</v>
      </c>
      <c r="C8" s="12">
        <v>4.035000000000001</v>
      </c>
      <c r="D8" s="12">
        <v>3.8833333333333329</v>
      </c>
      <c r="E8" s="12">
        <v>3.8260869565217392</v>
      </c>
      <c r="F8" s="12">
        <v>3.7299999999999995</v>
      </c>
      <c r="G8" s="12">
        <v>3.9036764705882359</v>
      </c>
    </row>
    <row r="9" spans="1:17" x14ac:dyDescent="0.3">
      <c r="A9" s="3" t="s">
        <v>37</v>
      </c>
      <c r="B9" s="12">
        <v>3.994117647058824</v>
      </c>
      <c r="C9" s="12">
        <v>3.8076923076923084</v>
      </c>
      <c r="D9" s="12">
        <v>3.9130434782608687</v>
      </c>
      <c r="E9" s="12">
        <v>4.1318181818181818</v>
      </c>
      <c r="F9" s="12">
        <v>3.5250000000000004</v>
      </c>
      <c r="G9" s="12">
        <v>3.9337349397590362</v>
      </c>
    </row>
    <row r="10" spans="1:17" x14ac:dyDescent="0.3">
      <c r="A10" s="3" t="s">
        <v>38</v>
      </c>
      <c r="B10" s="12">
        <v>4.0933333333333328</v>
      </c>
      <c r="C10" s="12">
        <v>3.2583333333333333</v>
      </c>
      <c r="D10" s="12">
        <v>4.1764705882352944</v>
      </c>
      <c r="E10" s="12">
        <v>3.6909090909090909</v>
      </c>
      <c r="F10" s="12">
        <v>3.9666666666666668</v>
      </c>
      <c r="G10" s="12">
        <v>3.8761194029850752</v>
      </c>
    </row>
    <row r="11" spans="1:17" x14ac:dyDescent="0.3">
      <c r="A11" s="3" t="s">
        <v>39</v>
      </c>
      <c r="B11" s="12">
        <v>3.7666666666666671</v>
      </c>
      <c r="C11" s="12">
        <v>4.2222222222222214</v>
      </c>
      <c r="D11" s="12">
        <v>3.6181818181818177</v>
      </c>
      <c r="E11" s="12">
        <v>3.6411764705882357</v>
      </c>
      <c r="F11" s="12">
        <v>4.0666666666666664</v>
      </c>
      <c r="G11" s="12">
        <v>3.8281250000000004</v>
      </c>
    </row>
    <row r="12" spans="1:17" x14ac:dyDescent="0.3">
      <c r="A12" s="3" t="s">
        <v>40</v>
      </c>
      <c r="B12" s="12">
        <v>3.6571428571428575</v>
      </c>
      <c r="C12" s="12">
        <v>3.9384615384615382</v>
      </c>
      <c r="D12" s="12">
        <v>3.9181818181818184</v>
      </c>
      <c r="E12" s="12">
        <v>3.8666666666666658</v>
      </c>
      <c r="F12" s="12">
        <v>4.2714285714285714</v>
      </c>
      <c r="G12" s="12">
        <v>3.9240000000000008</v>
      </c>
    </row>
    <row r="13" spans="1:17" x14ac:dyDescent="0.3">
      <c r="A13" s="3" t="s">
        <v>41</v>
      </c>
      <c r="B13" s="12">
        <v>4.1090909090909085</v>
      </c>
      <c r="C13" s="12">
        <v>3.8555555555555561</v>
      </c>
      <c r="D13" s="12">
        <v>3.9285714285714284</v>
      </c>
      <c r="E13" s="12">
        <v>3.592307692307692</v>
      </c>
      <c r="F13" s="12">
        <v>3.9799999999999995</v>
      </c>
      <c r="G13" s="12">
        <v>3.89342105263158</v>
      </c>
    </row>
    <row r="14" spans="1:17" x14ac:dyDescent="0.3">
      <c r="A14" s="3" t="s">
        <v>42</v>
      </c>
      <c r="B14" s="12">
        <v>3.9208333333333329</v>
      </c>
      <c r="C14" s="12">
        <v>3.9714285714285711</v>
      </c>
      <c r="D14" s="12">
        <v>3.8833333333333337</v>
      </c>
      <c r="E14" s="12">
        <v>4.0733333333333333</v>
      </c>
      <c r="F14" s="12">
        <v>3.9291666666666658</v>
      </c>
      <c r="G14" s="12">
        <v>3.9421052631578939</v>
      </c>
    </row>
    <row r="15" spans="1:17" x14ac:dyDescent="0.3">
      <c r="A15" s="3" t="s">
        <v>43</v>
      </c>
      <c r="B15" s="12">
        <v>3.9888888888888889</v>
      </c>
      <c r="C15" s="12">
        <v>3.4999999999999996</v>
      </c>
      <c r="D15" s="12">
        <v>3.8214285714285707</v>
      </c>
      <c r="E15" s="12">
        <v>4.1749999999999998</v>
      </c>
      <c r="F15" s="12">
        <v>3.9416666666666664</v>
      </c>
      <c r="G15" s="12">
        <v>3.8438596491228068</v>
      </c>
    </row>
    <row r="16" spans="1:17" x14ac:dyDescent="0.3">
      <c r="A16" s="3" t="s">
        <v>44</v>
      </c>
      <c r="B16" s="12">
        <v>3.85</v>
      </c>
      <c r="C16" s="12">
        <v>3.2777777777777777</v>
      </c>
      <c r="D16" s="12">
        <v>3.9777777777777783</v>
      </c>
      <c r="E16" s="12">
        <v>3.8642857142857139</v>
      </c>
      <c r="F16" s="12">
        <v>3.7733333333333334</v>
      </c>
      <c r="G16" s="12">
        <v>3.7566037735849056</v>
      </c>
    </row>
    <row r="17" spans="1:7" x14ac:dyDescent="0.3">
      <c r="A17" s="3" t="s">
        <v>19</v>
      </c>
      <c r="B17" s="12">
        <v>3.9227513227513247</v>
      </c>
      <c r="C17" s="12">
        <v>3.8706422018348627</v>
      </c>
      <c r="D17" s="12">
        <v>3.8589371980676304</v>
      </c>
      <c r="E17" s="12">
        <v>3.8973118279569863</v>
      </c>
      <c r="F17" s="12">
        <v>3.8824999999999998</v>
      </c>
      <c r="G17" s="12">
        <v>3.8853999999999997</v>
      </c>
    </row>
    <row r="22" spans="1:7" x14ac:dyDescent="0.3">
      <c r="B22" s="8" t="s">
        <v>45</v>
      </c>
      <c r="C22" s="8" t="s">
        <v>29</v>
      </c>
    </row>
  </sheetData>
  <conditionalFormatting sqref="H5:M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{3731599A-EA43-4D1A-A756-CE9994BC63F1}</x14:id>
        </ext>
      </extLst>
    </cfRule>
  </conditionalFormatting>
  <conditionalFormatting pivot="1" sqref="B5:F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31599A-EA43-4D1A-A756-CE9994BC63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H5:M9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F175-0D41-4CDD-BD87-695F5B36B8B1}">
  <dimension ref="A1:K1004"/>
  <sheetViews>
    <sheetView workbookViewId="0">
      <selection activeCell="M15" sqref="M15"/>
    </sheetView>
  </sheetViews>
  <sheetFormatPr defaultRowHeight="14.4" x14ac:dyDescent="0.3"/>
  <cols>
    <col min="1" max="1" width="14.6640625" customWidth="1"/>
    <col min="2" max="2" width="13.77734375" customWidth="1"/>
    <col min="3" max="3" width="15.5546875" customWidth="1"/>
    <col min="4" max="4" width="17" customWidth="1"/>
    <col min="5" max="5" width="13.5546875" customWidth="1"/>
    <col min="6" max="6" width="18.109375" customWidth="1"/>
    <col min="7" max="7" width="19.33203125" customWidth="1"/>
    <col min="8" max="8" width="16.109375" customWidth="1"/>
    <col min="9" max="9" width="14.109375" customWidth="1"/>
    <col min="10" max="10" width="15.88671875" customWidth="1"/>
    <col min="11" max="11" width="14.21875" customWidth="1"/>
  </cols>
  <sheetData>
    <row r="1" spans="1:11" s="15" customFormat="1" ht="48" customHeight="1" x14ac:dyDescent="0.3">
      <c r="B1" s="16" t="s">
        <v>1046</v>
      </c>
    </row>
    <row r="4" spans="1:11" x14ac:dyDescent="0.3">
      <c r="A4" s="17" t="s">
        <v>1047</v>
      </c>
      <c r="B4" s="18" t="s">
        <v>1048</v>
      </c>
      <c r="C4" s="19" t="s">
        <v>1049</v>
      </c>
      <c r="D4" s="20" t="s">
        <v>1050</v>
      </c>
      <c r="E4" s="20" t="s">
        <v>1051</v>
      </c>
      <c r="F4" s="18" t="s">
        <v>1052</v>
      </c>
      <c r="G4" s="21" t="s">
        <v>1053</v>
      </c>
      <c r="H4" s="22" t="s">
        <v>1054</v>
      </c>
      <c r="I4" s="22" t="s">
        <v>1055</v>
      </c>
      <c r="J4" s="22" t="s">
        <v>1056</v>
      </c>
      <c r="K4" s="22" t="s">
        <v>1057</v>
      </c>
    </row>
    <row r="5" spans="1:11" x14ac:dyDescent="0.3">
      <c r="A5" s="23" t="s">
        <v>46</v>
      </c>
      <c r="B5" s="6" t="s">
        <v>6</v>
      </c>
      <c r="C5" s="6">
        <v>116</v>
      </c>
      <c r="D5" s="13" t="s">
        <v>32</v>
      </c>
      <c r="E5" s="14">
        <v>44927</v>
      </c>
      <c r="F5" s="6">
        <v>128</v>
      </c>
      <c r="G5" s="24">
        <v>4.9000000000000004</v>
      </c>
      <c r="H5">
        <f>IF(MONTH(Table13[[#This Row],[Date of Call]])&lt;6, YEAR(Table13[[#This Row],[Date of Call]]),YEAR(Table13[[#This Row],[Date of Call]])+1)</f>
        <v>2023</v>
      </c>
      <c r="I5" t="str">
        <f>TEXT(Table13[[#This Row],[Date of Call]],"dddd")</f>
        <v>Sunday</v>
      </c>
      <c r="J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">
        <f>ROUND(Table13[[#This Row],[Satisfaction Rating]],0)</f>
        <v>5</v>
      </c>
    </row>
    <row r="6" spans="1:11" x14ac:dyDescent="0.3">
      <c r="A6" s="23" t="s">
        <v>47</v>
      </c>
      <c r="B6" s="6" t="s">
        <v>7</v>
      </c>
      <c r="C6" s="6">
        <v>119</v>
      </c>
      <c r="D6" s="13" t="s">
        <v>32</v>
      </c>
      <c r="E6" s="14">
        <v>44927</v>
      </c>
      <c r="F6" s="6">
        <v>135</v>
      </c>
      <c r="G6" s="24">
        <v>2.9</v>
      </c>
      <c r="H6">
        <f>IF(MONTH(Table13[[#This Row],[Date of Call]])&lt;6, YEAR(Table13[[#This Row],[Date of Call]]),YEAR(Table13[[#This Row],[Date of Call]])+1)</f>
        <v>2023</v>
      </c>
      <c r="I6" t="str">
        <f>TEXT(Table13[[#This Row],[Date of Call]],"dddd")</f>
        <v>Sunday</v>
      </c>
      <c r="J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">
        <f>ROUND(Table13[[#This Row],[Satisfaction Rating]],0)</f>
        <v>3</v>
      </c>
    </row>
    <row r="7" spans="1:11" x14ac:dyDescent="0.3">
      <c r="A7" s="23" t="s">
        <v>48</v>
      </c>
      <c r="B7" s="6" t="s">
        <v>8</v>
      </c>
      <c r="C7" s="6">
        <v>68</v>
      </c>
      <c r="D7" s="13" t="s">
        <v>29</v>
      </c>
      <c r="E7" s="14">
        <v>44927</v>
      </c>
      <c r="F7" s="6">
        <v>66</v>
      </c>
      <c r="G7" s="24">
        <v>4.7</v>
      </c>
      <c r="H7">
        <f>IF(MONTH(Table13[[#This Row],[Date of Call]])&lt;6, YEAR(Table13[[#This Row],[Date of Call]]),YEAR(Table13[[#This Row],[Date of Call]])+1)</f>
        <v>2023</v>
      </c>
      <c r="I7" t="str">
        <f>TEXT(Table13[[#This Row],[Date of Call]],"dddd")</f>
        <v>Sunday</v>
      </c>
      <c r="J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">
        <f>ROUND(Table13[[#This Row],[Satisfaction Rating]],0)</f>
        <v>5</v>
      </c>
    </row>
    <row r="8" spans="1:11" x14ac:dyDescent="0.3">
      <c r="A8" s="23" t="s">
        <v>49</v>
      </c>
      <c r="B8" s="6" t="s">
        <v>17</v>
      </c>
      <c r="C8" s="6">
        <v>119</v>
      </c>
      <c r="D8" s="13" t="s">
        <v>29</v>
      </c>
      <c r="E8" s="14">
        <v>44927</v>
      </c>
      <c r="F8" s="6">
        <v>22</v>
      </c>
      <c r="G8" s="24">
        <v>2.9</v>
      </c>
      <c r="H8">
        <f>IF(MONTH(Table13[[#This Row],[Date of Call]])&lt;6, YEAR(Table13[[#This Row],[Date of Call]]),YEAR(Table13[[#This Row],[Date of Call]])+1)</f>
        <v>2023</v>
      </c>
      <c r="I8" t="str">
        <f>TEXT(Table13[[#This Row],[Date of Call]],"dddd")</f>
        <v>Sunday</v>
      </c>
      <c r="J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">
        <f>ROUND(Table13[[#This Row],[Satisfaction Rating]],0)</f>
        <v>3</v>
      </c>
    </row>
    <row r="9" spans="1:11" x14ac:dyDescent="0.3">
      <c r="A9" s="23" t="s">
        <v>50</v>
      </c>
      <c r="B9" s="6" t="s">
        <v>14</v>
      </c>
      <c r="C9" s="6">
        <v>128</v>
      </c>
      <c r="D9" s="13" t="s">
        <v>28</v>
      </c>
      <c r="E9" s="14">
        <v>44928</v>
      </c>
      <c r="F9" s="6">
        <v>31</v>
      </c>
      <c r="G9" s="24">
        <v>2.8</v>
      </c>
      <c r="H9">
        <f>IF(MONTH(Table13[[#This Row],[Date of Call]])&lt;6, YEAR(Table13[[#This Row],[Date of Call]]),YEAR(Table13[[#This Row],[Date of Call]])+1)</f>
        <v>2023</v>
      </c>
      <c r="I9" t="str">
        <f>TEXT(Table13[[#This Row],[Date of Call]],"dddd")</f>
        <v>Monday</v>
      </c>
      <c r="J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">
        <f>ROUND(Table13[[#This Row],[Satisfaction Rating]],0)</f>
        <v>3</v>
      </c>
    </row>
    <row r="10" spans="1:11" x14ac:dyDescent="0.3">
      <c r="A10" s="23" t="s">
        <v>51</v>
      </c>
      <c r="B10" s="6" t="s">
        <v>14</v>
      </c>
      <c r="C10" s="6">
        <v>49</v>
      </c>
      <c r="D10" s="13" t="s">
        <v>29</v>
      </c>
      <c r="E10" s="14">
        <v>44929</v>
      </c>
      <c r="F10" s="6">
        <v>135</v>
      </c>
      <c r="G10" s="24">
        <v>4.8</v>
      </c>
      <c r="H10">
        <f>IF(MONTH(Table13[[#This Row],[Date of Call]])&lt;6, YEAR(Table13[[#This Row],[Date of Call]]),YEAR(Table13[[#This Row],[Date of Call]])+1)</f>
        <v>2023</v>
      </c>
      <c r="I10" t="str">
        <f>TEXT(Table13[[#This Row],[Date of Call]],"dddd")</f>
        <v>Tuesday</v>
      </c>
      <c r="J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0">
        <f>ROUND(Table13[[#This Row],[Satisfaction Rating]],0)</f>
        <v>5</v>
      </c>
    </row>
    <row r="11" spans="1:11" x14ac:dyDescent="0.3">
      <c r="A11" s="23" t="s">
        <v>52</v>
      </c>
      <c r="B11" s="6" t="s">
        <v>10</v>
      </c>
      <c r="C11" s="6">
        <v>84</v>
      </c>
      <c r="D11" s="13" t="s">
        <v>32</v>
      </c>
      <c r="E11" s="14">
        <v>44929</v>
      </c>
      <c r="F11" s="6">
        <v>60</v>
      </c>
      <c r="G11" s="24">
        <v>4.7</v>
      </c>
      <c r="H11">
        <f>IF(MONTH(Table13[[#This Row],[Date of Call]])&lt;6, YEAR(Table13[[#This Row],[Date of Call]]),YEAR(Table13[[#This Row],[Date of Call]])+1)</f>
        <v>2023</v>
      </c>
      <c r="I11" t="str">
        <f>TEXT(Table13[[#This Row],[Date of Call]],"dddd")</f>
        <v>Tuesday</v>
      </c>
      <c r="J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1">
        <f>ROUND(Table13[[#This Row],[Satisfaction Rating]],0)</f>
        <v>5</v>
      </c>
    </row>
    <row r="12" spans="1:11" x14ac:dyDescent="0.3">
      <c r="A12" s="23" t="s">
        <v>53</v>
      </c>
      <c r="B12" s="6" t="s">
        <v>6</v>
      </c>
      <c r="C12" s="6">
        <v>103</v>
      </c>
      <c r="D12" s="13" t="s">
        <v>31</v>
      </c>
      <c r="E12" s="14">
        <v>44929</v>
      </c>
      <c r="F12" s="6">
        <v>148</v>
      </c>
      <c r="G12" s="24">
        <v>4.4000000000000004</v>
      </c>
      <c r="H12">
        <f>IF(MONTH(Table13[[#This Row],[Date of Call]])&lt;6, YEAR(Table13[[#This Row],[Date of Call]]),YEAR(Table13[[#This Row],[Date of Call]])+1)</f>
        <v>2023</v>
      </c>
      <c r="I12" t="str">
        <f>TEXT(Table13[[#This Row],[Date of Call]],"dddd")</f>
        <v>Tuesday</v>
      </c>
      <c r="J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">
        <f>ROUND(Table13[[#This Row],[Satisfaction Rating]],0)</f>
        <v>4</v>
      </c>
    </row>
    <row r="13" spans="1:11" x14ac:dyDescent="0.3">
      <c r="A13" s="23" t="s">
        <v>54</v>
      </c>
      <c r="B13" s="6" t="s">
        <v>8</v>
      </c>
      <c r="C13" s="6">
        <v>31</v>
      </c>
      <c r="D13" s="13" t="s">
        <v>29</v>
      </c>
      <c r="E13" s="14">
        <v>44929</v>
      </c>
      <c r="F13" s="6">
        <v>135</v>
      </c>
      <c r="G13" s="24">
        <v>3.6</v>
      </c>
      <c r="H13">
        <f>IF(MONTH(Table13[[#This Row],[Date of Call]])&lt;6, YEAR(Table13[[#This Row],[Date of Call]]),YEAR(Table13[[#This Row],[Date of Call]])+1)</f>
        <v>2023</v>
      </c>
      <c r="I13" t="str">
        <f>TEXT(Table13[[#This Row],[Date of Call]],"dddd")</f>
        <v>Tuesday</v>
      </c>
      <c r="J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3">
        <f>ROUND(Table13[[#This Row],[Satisfaction Rating]],0)</f>
        <v>4</v>
      </c>
    </row>
    <row r="14" spans="1:11" x14ac:dyDescent="0.3">
      <c r="A14" s="23" t="s">
        <v>55</v>
      </c>
      <c r="B14" s="6" t="s">
        <v>13</v>
      </c>
      <c r="C14" s="6">
        <v>44</v>
      </c>
      <c r="D14" s="13" t="s">
        <v>30</v>
      </c>
      <c r="E14" s="14">
        <v>44929</v>
      </c>
      <c r="F14" s="6">
        <v>105</v>
      </c>
      <c r="G14" s="24">
        <v>2.9</v>
      </c>
      <c r="H14">
        <f>IF(MONTH(Table13[[#This Row],[Date of Call]])&lt;6, YEAR(Table13[[#This Row],[Date of Call]]),YEAR(Table13[[#This Row],[Date of Call]])+1)</f>
        <v>2023</v>
      </c>
      <c r="I14" t="str">
        <f>TEXT(Table13[[#This Row],[Date of Call]],"dddd")</f>
        <v>Tuesday</v>
      </c>
      <c r="J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4">
        <f>ROUND(Table13[[#This Row],[Satisfaction Rating]],0)</f>
        <v>3</v>
      </c>
    </row>
    <row r="15" spans="1:11" x14ac:dyDescent="0.3">
      <c r="A15" s="23" t="s">
        <v>56</v>
      </c>
      <c r="B15" s="6" t="s">
        <v>14</v>
      </c>
      <c r="C15" s="6">
        <v>102</v>
      </c>
      <c r="D15" s="13" t="s">
        <v>29</v>
      </c>
      <c r="E15" s="14">
        <v>44929</v>
      </c>
      <c r="F15" s="6">
        <v>69</v>
      </c>
      <c r="G15" s="24">
        <v>4.9000000000000004</v>
      </c>
      <c r="H15">
        <f>IF(MONTH(Table13[[#This Row],[Date of Call]])&lt;6, YEAR(Table13[[#This Row],[Date of Call]]),YEAR(Table13[[#This Row],[Date of Call]])+1)</f>
        <v>2023</v>
      </c>
      <c r="I15" t="str">
        <f>TEXT(Table13[[#This Row],[Date of Call]],"dddd")</f>
        <v>Tuesday</v>
      </c>
      <c r="J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5">
        <f>ROUND(Table13[[#This Row],[Satisfaction Rating]],0)</f>
        <v>5</v>
      </c>
    </row>
    <row r="16" spans="1:11" x14ac:dyDescent="0.3">
      <c r="A16" s="23" t="s">
        <v>57</v>
      </c>
      <c r="B16" s="6" t="s">
        <v>16</v>
      </c>
      <c r="C16" s="6">
        <v>135</v>
      </c>
      <c r="D16" s="13" t="s">
        <v>32</v>
      </c>
      <c r="E16" s="14">
        <v>44929</v>
      </c>
      <c r="F16" s="6">
        <v>46</v>
      </c>
      <c r="G16" s="24">
        <v>3.4</v>
      </c>
      <c r="H16">
        <f>IF(MONTH(Table13[[#This Row],[Date of Call]])&lt;6, YEAR(Table13[[#This Row],[Date of Call]]),YEAR(Table13[[#This Row],[Date of Call]])+1)</f>
        <v>2023</v>
      </c>
      <c r="I16" t="str">
        <f>TEXT(Table13[[#This Row],[Date of Call]],"dddd")</f>
        <v>Tuesday</v>
      </c>
      <c r="J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6">
        <f>ROUND(Table13[[#This Row],[Satisfaction Rating]],0)</f>
        <v>3</v>
      </c>
    </row>
    <row r="17" spans="1:11" x14ac:dyDescent="0.3">
      <c r="A17" s="23" t="s">
        <v>58</v>
      </c>
      <c r="B17" s="6" t="s">
        <v>5</v>
      </c>
      <c r="C17" s="6">
        <v>98</v>
      </c>
      <c r="D17" s="13" t="s">
        <v>29</v>
      </c>
      <c r="E17" s="14">
        <v>44930</v>
      </c>
      <c r="F17" s="6">
        <v>108</v>
      </c>
      <c r="G17" s="24">
        <v>3.5</v>
      </c>
      <c r="H17">
        <f>IF(MONTH(Table13[[#This Row],[Date of Call]])&lt;6, YEAR(Table13[[#This Row],[Date of Call]]),YEAR(Table13[[#This Row],[Date of Call]])+1)</f>
        <v>2023</v>
      </c>
      <c r="I17" t="str">
        <f>TEXT(Table13[[#This Row],[Date of Call]],"dddd")</f>
        <v>Wednesday</v>
      </c>
      <c r="J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">
        <f>ROUND(Table13[[#This Row],[Satisfaction Rating]],0)</f>
        <v>4</v>
      </c>
    </row>
    <row r="18" spans="1:11" x14ac:dyDescent="0.3">
      <c r="A18" s="23" t="s">
        <v>59</v>
      </c>
      <c r="B18" s="6" t="s">
        <v>13</v>
      </c>
      <c r="C18" s="6">
        <v>139</v>
      </c>
      <c r="D18" s="13" t="s">
        <v>29</v>
      </c>
      <c r="E18" s="14">
        <v>44930</v>
      </c>
      <c r="F18" s="6">
        <v>96</v>
      </c>
      <c r="G18" s="24">
        <v>4</v>
      </c>
      <c r="H18">
        <f>IF(MONTH(Table13[[#This Row],[Date of Call]])&lt;6, YEAR(Table13[[#This Row],[Date of Call]]),YEAR(Table13[[#This Row],[Date of Call]])+1)</f>
        <v>2023</v>
      </c>
      <c r="I18" t="str">
        <f>TEXT(Table13[[#This Row],[Date of Call]],"dddd")</f>
        <v>Wednesday</v>
      </c>
      <c r="J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8">
        <f>ROUND(Table13[[#This Row],[Satisfaction Rating]],0)</f>
        <v>4</v>
      </c>
    </row>
    <row r="19" spans="1:11" x14ac:dyDescent="0.3">
      <c r="A19" s="23" t="s">
        <v>60</v>
      </c>
      <c r="B19" s="6" t="s">
        <v>16</v>
      </c>
      <c r="C19" s="6">
        <v>48</v>
      </c>
      <c r="D19" s="13" t="s">
        <v>28</v>
      </c>
      <c r="E19" s="14">
        <v>44930</v>
      </c>
      <c r="F19" s="6">
        <v>68</v>
      </c>
      <c r="G19" s="24">
        <v>4.9000000000000004</v>
      </c>
      <c r="H19">
        <f>IF(MONTH(Table13[[#This Row],[Date of Call]])&lt;6, YEAR(Table13[[#This Row],[Date of Call]]),YEAR(Table13[[#This Row],[Date of Call]])+1)</f>
        <v>2023</v>
      </c>
      <c r="I19" t="str">
        <f>TEXT(Table13[[#This Row],[Date of Call]],"dddd")</f>
        <v>Wednesday</v>
      </c>
      <c r="J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9">
        <f>ROUND(Table13[[#This Row],[Satisfaction Rating]],0)</f>
        <v>5</v>
      </c>
    </row>
    <row r="20" spans="1:11" x14ac:dyDescent="0.3">
      <c r="A20" s="23" t="s">
        <v>61</v>
      </c>
      <c r="B20" s="6" t="s">
        <v>13</v>
      </c>
      <c r="C20" s="6">
        <v>176</v>
      </c>
      <c r="D20" s="13" t="s">
        <v>32</v>
      </c>
      <c r="E20" s="14">
        <v>44931</v>
      </c>
      <c r="F20" s="6">
        <v>24</v>
      </c>
      <c r="G20" s="24">
        <v>4.8</v>
      </c>
      <c r="H20">
        <f>IF(MONTH(Table13[[#This Row],[Date of Call]])&lt;6, YEAR(Table13[[#This Row],[Date of Call]]),YEAR(Table13[[#This Row],[Date of Call]])+1)</f>
        <v>2023</v>
      </c>
      <c r="I20" t="str">
        <f>TEXT(Table13[[#This Row],[Date of Call]],"dddd")</f>
        <v>Thursday</v>
      </c>
      <c r="J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0">
        <f>ROUND(Table13[[#This Row],[Satisfaction Rating]],0)</f>
        <v>5</v>
      </c>
    </row>
    <row r="21" spans="1:11" x14ac:dyDescent="0.3">
      <c r="A21" s="23" t="s">
        <v>62</v>
      </c>
      <c r="B21" s="6" t="s">
        <v>13</v>
      </c>
      <c r="C21" s="6">
        <v>99</v>
      </c>
      <c r="D21" s="13" t="s">
        <v>28</v>
      </c>
      <c r="E21" s="14">
        <v>44931</v>
      </c>
      <c r="F21" s="6">
        <v>195</v>
      </c>
      <c r="G21" s="24">
        <v>3.9</v>
      </c>
      <c r="H21">
        <f>IF(MONTH(Table13[[#This Row],[Date of Call]])&lt;6, YEAR(Table13[[#This Row],[Date of Call]]),YEAR(Table13[[#This Row],[Date of Call]])+1)</f>
        <v>2023</v>
      </c>
      <c r="I21" t="str">
        <f>TEXT(Table13[[#This Row],[Date of Call]],"dddd")</f>
        <v>Thursday</v>
      </c>
      <c r="J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1">
        <f>ROUND(Table13[[#This Row],[Satisfaction Rating]],0)</f>
        <v>4</v>
      </c>
    </row>
    <row r="22" spans="1:11" x14ac:dyDescent="0.3">
      <c r="A22" s="23" t="s">
        <v>63</v>
      </c>
      <c r="B22" s="6" t="s">
        <v>12</v>
      </c>
      <c r="C22" s="6">
        <v>28</v>
      </c>
      <c r="D22" s="13" t="s">
        <v>30</v>
      </c>
      <c r="E22" s="14">
        <v>44931</v>
      </c>
      <c r="F22" s="6">
        <v>28</v>
      </c>
      <c r="G22" s="24">
        <v>3.8</v>
      </c>
      <c r="H22">
        <f>IF(MONTH(Table13[[#This Row],[Date of Call]])&lt;6, YEAR(Table13[[#This Row],[Date of Call]]),YEAR(Table13[[#This Row],[Date of Call]])+1)</f>
        <v>2023</v>
      </c>
      <c r="I22" t="str">
        <f>TEXT(Table13[[#This Row],[Date of Call]],"dddd")</f>
        <v>Thursday</v>
      </c>
      <c r="J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22">
        <f>ROUND(Table13[[#This Row],[Satisfaction Rating]],0)</f>
        <v>4</v>
      </c>
    </row>
    <row r="23" spans="1:11" x14ac:dyDescent="0.3">
      <c r="A23" s="23" t="s">
        <v>64</v>
      </c>
      <c r="B23" s="6" t="s">
        <v>10</v>
      </c>
      <c r="C23" s="6">
        <v>54</v>
      </c>
      <c r="D23" s="13" t="s">
        <v>29</v>
      </c>
      <c r="E23" s="14">
        <v>44931</v>
      </c>
      <c r="F23" s="6">
        <v>170</v>
      </c>
      <c r="G23" s="24">
        <v>4.3</v>
      </c>
      <c r="H23">
        <f>IF(MONTH(Table13[[#This Row],[Date of Call]])&lt;6, YEAR(Table13[[#This Row],[Date of Call]]),YEAR(Table13[[#This Row],[Date of Call]])+1)</f>
        <v>2023</v>
      </c>
      <c r="I23" t="str">
        <f>TEXT(Table13[[#This Row],[Date of Call]],"dddd")</f>
        <v>Thursday</v>
      </c>
      <c r="J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3">
        <f>ROUND(Table13[[#This Row],[Satisfaction Rating]],0)</f>
        <v>4</v>
      </c>
    </row>
    <row r="24" spans="1:11" x14ac:dyDescent="0.3">
      <c r="A24" s="23" t="s">
        <v>65</v>
      </c>
      <c r="B24" s="6" t="s">
        <v>9</v>
      </c>
      <c r="C24" s="6">
        <v>48</v>
      </c>
      <c r="D24" s="13" t="s">
        <v>32</v>
      </c>
      <c r="E24" s="14">
        <v>44932</v>
      </c>
      <c r="F24" s="6">
        <v>30</v>
      </c>
      <c r="G24" s="24">
        <v>4.4000000000000004</v>
      </c>
      <c r="H24">
        <f>IF(MONTH(Table13[[#This Row],[Date of Call]])&lt;6, YEAR(Table13[[#This Row],[Date of Call]]),YEAR(Table13[[#This Row],[Date of Call]])+1)</f>
        <v>2023</v>
      </c>
      <c r="I24" t="str">
        <f>TEXT(Table13[[#This Row],[Date of Call]],"dddd")</f>
        <v>Friday</v>
      </c>
      <c r="J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4">
        <f>ROUND(Table13[[#This Row],[Satisfaction Rating]],0)</f>
        <v>4</v>
      </c>
    </row>
    <row r="25" spans="1:11" x14ac:dyDescent="0.3">
      <c r="A25" s="23" t="s">
        <v>66</v>
      </c>
      <c r="B25" s="6" t="s">
        <v>7</v>
      </c>
      <c r="C25" s="6">
        <v>128</v>
      </c>
      <c r="D25" s="13" t="s">
        <v>32</v>
      </c>
      <c r="E25" s="14">
        <v>44932</v>
      </c>
      <c r="F25" s="6">
        <v>72</v>
      </c>
      <c r="G25" s="24">
        <v>5</v>
      </c>
      <c r="H25">
        <f>IF(MONTH(Table13[[#This Row],[Date of Call]])&lt;6, YEAR(Table13[[#This Row],[Date of Call]]),YEAR(Table13[[#This Row],[Date of Call]])+1)</f>
        <v>2023</v>
      </c>
      <c r="I25" t="str">
        <f>TEXT(Table13[[#This Row],[Date of Call]],"dddd")</f>
        <v>Friday</v>
      </c>
      <c r="J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5">
        <f>ROUND(Table13[[#This Row],[Satisfaction Rating]],0)</f>
        <v>5</v>
      </c>
    </row>
    <row r="26" spans="1:11" x14ac:dyDescent="0.3">
      <c r="A26" s="23" t="s">
        <v>67</v>
      </c>
      <c r="B26" s="6" t="s">
        <v>7</v>
      </c>
      <c r="C26" s="6">
        <v>38</v>
      </c>
      <c r="D26" s="13" t="s">
        <v>31</v>
      </c>
      <c r="E26" s="14">
        <v>44933</v>
      </c>
      <c r="F26" s="6">
        <v>92</v>
      </c>
      <c r="G26" s="24">
        <v>4.9000000000000004</v>
      </c>
      <c r="H26">
        <f>IF(MONTH(Table13[[#This Row],[Date of Call]])&lt;6, YEAR(Table13[[#This Row],[Date of Call]]),YEAR(Table13[[#This Row],[Date of Call]])+1)</f>
        <v>2023</v>
      </c>
      <c r="I26" t="str">
        <f>TEXT(Table13[[#This Row],[Date of Call]],"dddd")</f>
        <v>Saturday</v>
      </c>
      <c r="J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6">
        <f>ROUND(Table13[[#This Row],[Satisfaction Rating]],0)</f>
        <v>5</v>
      </c>
    </row>
    <row r="27" spans="1:11" x14ac:dyDescent="0.3">
      <c r="A27" s="23" t="s">
        <v>68</v>
      </c>
      <c r="B27" s="6" t="s">
        <v>6</v>
      </c>
      <c r="C27" s="6">
        <v>67</v>
      </c>
      <c r="D27" s="13" t="s">
        <v>31</v>
      </c>
      <c r="E27" s="14">
        <v>44934</v>
      </c>
      <c r="F27" s="6">
        <v>165</v>
      </c>
      <c r="G27" s="24">
        <v>4.5</v>
      </c>
      <c r="H27">
        <f>IF(MONTH(Table13[[#This Row],[Date of Call]])&lt;6, YEAR(Table13[[#This Row],[Date of Call]]),YEAR(Table13[[#This Row],[Date of Call]])+1)</f>
        <v>2023</v>
      </c>
      <c r="I27" t="str">
        <f>TEXT(Table13[[#This Row],[Date of Call]],"dddd")</f>
        <v>Sunday</v>
      </c>
      <c r="J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7">
        <f>ROUND(Table13[[#This Row],[Satisfaction Rating]],0)</f>
        <v>5</v>
      </c>
    </row>
    <row r="28" spans="1:11" x14ac:dyDescent="0.3">
      <c r="A28" s="23" t="s">
        <v>69</v>
      </c>
      <c r="B28" s="6" t="s">
        <v>18</v>
      </c>
      <c r="C28" s="6">
        <v>58</v>
      </c>
      <c r="D28" s="13" t="s">
        <v>29</v>
      </c>
      <c r="E28" s="14">
        <v>44934</v>
      </c>
      <c r="F28" s="6">
        <v>140</v>
      </c>
      <c r="G28" s="24">
        <v>2.1</v>
      </c>
      <c r="H28">
        <f>IF(MONTH(Table13[[#This Row],[Date of Call]])&lt;6, YEAR(Table13[[#This Row],[Date of Call]]),YEAR(Table13[[#This Row],[Date of Call]])+1)</f>
        <v>2023</v>
      </c>
      <c r="I28" t="str">
        <f>TEXT(Table13[[#This Row],[Date of Call]],"dddd")</f>
        <v>Sunday</v>
      </c>
      <c r="J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8">
        <f>ROUND(Table13[[#This Row],[Satisfaction Rating]],0)</f>
        <v>2</v>
      </c>
    </row>
    <row r="29" spans="1:11" x14ac:dyDescent="0.3">
      <c r="A29" s="23" t="s">
        <v>70</v>
      </c>
      <c r="B29" s="6" t="s">
        <v>13</v>
      </c>
      <c r="C29" s="6">
        <v>54</v>
      </c>
      <c r="D29" s="13" t="s">
        <v>28</v>
      </c>
      <c r="E29" s="14">
        <v>44934</v>
      </c>
      <c r="F29" s="6">
        <v>111</v>
      </c>
      <c r="G29" s="24">
        <v>3.3</v>
      </c>
      <c r="H29">
        <f>IF(MONTH(Table13[[#This Row],[Date of Call]])&lt;6, YEAR(Table13[[#This Row],[Date of Call]]),YEAR(Table13[[#This Row],[Date of Call]])+1)</f>
        <v>2023</v>
      </c>
      <c r="I29" t="str">
        <f>TEXT(Table13[[#This Row],[Date of Call]],"dddd")</f>
        <v>Sunday</v>
      </c>
      <c r="J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">
        <f>ROUND(Table13[[#This Row],[Satisfaction Rating]],0)</f>
        <v>3</v>
      </c>
    </row>
    <row r="30" spans="1:11" x14ac:dyDescent="0.3">
      <c r="A30" s="23" t="s">
        <v>71</v>
      </c>
      <c r="B30" s="6" t="s">
        <v>15</v>
      </c>
      <c r="C30" s="6">
        <v>28</v>
      </c>
      <c r="D30" s="13" t="s">
        <v>32</v>
      </c>
      <c r="E30" s="14">
        <v>44935</v>
      </c>
      <c r="F30" s="6">
        <v>63</v>
      </c>
      <c r="G30" s="24">
        <v>4.0999999999999996</v>
      </c>
      <c r="H30">
        <f>IF(MONTH(Table13[[#This Row],[Date of Call]])&lt;6, YEAR(Table13[[#This Row],[Date of Call]]),YEAR(Table13[[#This Row],[Date of Call]])+1)</f>
        <v>2023</v>
      </c>
      <c r="I30" t="str">
        <f>TEXT(Table13[[#This Row],[Date of Call]],"dddd")</f>
        <v>Monday</v>
      </c>
      <c r="J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0">
        <f>ROUND(Table13[[#This Row],[Satisfaction Rating]],0)</f>
        <v>4</v>
      </c>
    </row>
    <row r="31" spans="1:11" x14ac:dyDescent="0.3">
      <c r="A31" s="23" t="s">
        <v>72</v>
      </c>
      <c r="B31" s="6" t="s">
        <v>5</v>
      </c>
      <c r="C31" s="6">
        <v>73</v>
      </c>
      <c r="D31" s="13" t="s">
        <v>32</v>
      </c>
      <c r="E31" s="14">
        <v>44935</v>
      </c>
      <c r="F31" s="6">
        <v>80</v>
      </c>
      <c r="G31" s="24">
        <v>4.2</v>
      </c>
      <c r="H31">
        <f>IF(MONTH(Table13[[#This Row],[Date of Call]])&lt;6, YEAR(Table13[[#This Row],[Date of Call]]),YEAR(Table13[[#This Row],[Date of Call]])+1)</f>
        <v>2023</v>
      </c>
      <c r="I31" t="str">
        <f>TEXT(Table13[[#This Row],[Date of Call]],"dddd")</f>
        <v>Monday</v>
      </c>
      <c r="J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1">
        <f>ROUND(Table13[[#This Row],[Satisfaction Rating]],0)</f>
        <v>4</v>
      </c>
    </row>
    <row r="32" spans="1:11" x14ac:dyDescent="0.3">
      <c r="A32" s="23" t="s">
        <v>73</v>
      </c>
      <c r="B32" s="6" t="s">
        <v>14</v>
      </c>
      <c r="C32" s="6">
        <v>81</v>
      </c>
      <c r="D32" s="13" t="s">
        <v>32</v>
      </c>
      <c r="E32" s="14">
        <v>44936</v>
      </c>
      <c r="F32" s="6">
        <v>50</v>
      </c>
      <c r="G32" s="24">
        <v>4.5999999999999996</v>
      </c>
      <c r="H32">
        <f>IF(MONTH(Table13[[#This Row],[Date of Call]])&lt;6, YEAR(Table13[[#This Row],[Date of Call]]),YEAR(Table13[[#This Row],[Date of Call]])+1)</f>
        <v>2023</v>
      </c>
      <c r="I32" t="str">
        <f>TEXT(Table13[[#This Row],[Date of Call]],"dddd")</f>
        <v>Tuesday</v>
      </c>
      <c r="J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2">
        <f>ROUND(Table13[[#This Row],[Satisfaction Rating]],0)</f>
        <v>5</v>
      </c>
    </row>
    <row r="33" spans="1:11" x14ac:dyDescent="0.3">
      <c r="A33" s="23" t="s">
        <v>74</v>
      </c>
      <c r="B33" s="6" t="s">
        <v>12</v>
      </c>
      <c r="C33" s="6">
        <v>31</v>
      </c>
      <c r="D33" s="13" t="s">
        <v>31</v>
      </c>
      <c r="E33" s="14">
        <v>44936</v>
      </c>
      <c r="F33" s="6">
        <v>123</v>
      </c>
      <c r="G33" s="24">
        <v>2.9</v>
      </c>
      <c r="H33">
        <f>IF(MONTH(Table13[[#This Row],[Date of Call]])&lt;6, YEAR(Table13[[#This Row],[Date of Call]]),YEAR(Table13[[#This Row],[Date of Call]])+1)</f>
        <v>2023</v>
      </c>
      <c r="I33" t="str">
        <f>TEXT(Table13[[#This Row],[Date of Call]],"dddd")</f>
        <v>Tuesday</v>
      </c>
      <c r="J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3">
        <f>ROUND(Table13[[#This Row],[Satisfaction Rating]],0)</f>
        <v>3</v>
      </c>
    </row>
    <row r="34" spans="1:11" x14ac:dyDescent="0.3">
      <c r="A34" s="23" t="s">
        <v>75</v>
      </c>
      <c r="B34" s="6" t="s">
        <v>18</v>
      </c>
      <c r="C34" s="6">
        <v>155</v>
      </c>
      <c r="D34" s="13" t="s">
        <v>28</v>
      </c>
      <c r="E34" s="14">
        <v>44936</v>
      </c>
      <c r="F34" s="6">
        <v>110</v>
      </c>
      <c r="G34" s="24">
        <v>4.8</v>
      </c>
      <c r="H34">
        <f>IF(MONTH(Table13[[#This Row],[Date of Call]])&lt;6, YEAR(Table13[[#This Row],[Date of Call]]),YEAR(Table13[[#This Row],[Date of Call]])+1)</f>
        <v>2023</v>
      </c>
      <c r="I34" t="str">
        <f>TEXT(Table13[[#This Row],[Date of Call]],"dddd")</f>
        <v>Tuesday</v>
      </c>
      <c r="J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4">
        <f>ROUND(Table13[[#This Row],[Satisfaction Rating]],0)</f>
        <v>5</v>
      </c>
    </row>
    <row r="35" spans="1:11" x14ac:dyDescent="0.3">
      <c r="A35" s="23" t="s">
        <v>76</v>
      </c>
      <c r="B35" s="6" t="s">
        <v>12</v>
      </c>
      <c r="C35" s="6">
        <v>80</v>
      </c>
      <c r="D35" s="13" t="s">
        <v>32</v>
      </c>
      <c r="E35" s="14">
        <v>44936</v>
      </c>
      <c r="F35" s="6">
        <v>140</v>
      </c>
      <c r="G35" s="24">
        <v>4.2</v>
      </c>
      <c r="H35">
        <f>IF(MONTH(Table13[[#This Row],[Date of Call]])&lt;6, YEAR(Table13[[#This Row],[Date of Call]]),YEAR(Table13[[#This Row],[Date of Call]])+1)</f>
        <v>2023</v>
      </c>
      <c r="I35" t="str">
        <f>TEXT(Table13[[#This Row],[Date of Call]],"dddd")</f>
        <v>Tuesday</v>
      </c>
      <c r="J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">
        <f>ROUND(Table13[[#This Row],[Satisfaction Rating]],0)</f>
        <v>4</v>
      </c>
    </row>
    <row r="36" spans="1:11" x14ac:dyDescent="0.3">
      <c r="A36" s="23" t="s">
        <v>77</v>
      </c>
      <c r="B36" s="6" t="s">
        <v>14</v>
      </c>
      <c r="C36" s="6">
        <v>82</v>
      </c>
      <c r="D36" s="13" t="s">
        <v>32</v>
      </c>
      <c r="E36" s="14">
        <v>44938</v>
      </c>
      <c r="F36" s="6">
        <v>42</v>
      </c>
      <c r="G36" s="24">
        <v>3.7</v>
      </c>
      <c r="H36">
        <f>IF(MONTH(Table13[[#This Row],[Date of Call]])&lt;6, YEAR(Table13[[#This Row],[Date of Call]]),YEAR(Table13[[#This Row],[Date of Call]])+1)</f>
        <v>2023</v>
      </c>
      <c r="I36" t="str">
        <f>TEXT(Table13[[#This Row],[Date of Call]],"dddd")</f>
        <v>Thursday</v>
      </c>
      <c r="J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6">
        <f>ROUND(Table13[[#This Row],[Satisfaction Rating]],0)</f>
        <v>4</v>
      </c>
    </row>
    <row r="37" spans="1:11" x14ac:dyDescent="0.3">
      <c r="A37" s="23" t="s">
        <v>78</v>
      </c>
      <c r="B37" s="6" t="s">
        <v>14</v>
      </c>
      <c r="C37" s="6">
        <v>29</v>
      </c>
      <c r="D37" s="13" t="s">
        <v>28</v>
      </c>
      <c r="E37" s="14">
        <v>44938</v>
      </c>
      <c r="F37" s="6">
        <v>170</v>
      </c>
      <c r="G37" s="24">
        <v>5</v>
      </c>
      <c r="H37">
        <f>IF(MONTH(Table13[[#This Row],[Date of Call]])&lt;6, YEAR(Table13[[#This Row],[Date of Call]]),YEAR(Table13[[#This Row],[Date of Call]])+1)</f>
        <v>2023</v>
      </c>
      <c r="I37" t="str">
        <f>TEXT(Table13[[#This Row],[Date of Call]],"dddd")</f>
        <v>Thursday</v>
      </c>
      <c r="J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7">
        <f>ROUND(Table13[[#This Row],[Satisfaction Rating]],0)</f>
        <v>5</v>
      </c>
    </row>
    <row r="38" spans="1:11" x14ac:dyDescent="0.3">
      <c r="A38" s="23" t="s">
        <v>79</v>
      </c>
      <c r="B38" s="6" t="s">
        <v>9</v>
      </c>
      <c r="C38" s="6">
        <v>160</v>
      </c>
      <c r="D38" s="13" t="s">
        <v>29</v>
      </c>
      <c r="E38" s="14">
        <v>44940</v>
      </c>
      <c r="F38" s="6">
        <v>105</v>
      </c>
      <c r="G38" s="24">
        <v>5</v>
      </c>
      <c r="H38">
        <f>IF(MONTH(Table13[[#This Row],[Date of Call]])&lt;6, YEAR(Table13[[#This Row],[Date of Call]]),YEAR(Table13[[#This Row],[Date of Call]])+1)</f>
        <v>2023</v>
      </c>
      <c r="I38" t="str">
        <f>TEXT(Table13[[#This Row],[Date of Call]],"dddd")</f>
        <v>Saturday</v>
      </c>
      <c r="J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8">
        <f>ROUND(Table13[[#This Row],[Satisfaction Rating]],0)</f>
        <v>5</v>
      </c>
    </row>
    <row r="39" spans="1:11" x14ac:dyDescent="0.3">
      <c r="A39" s="23" t="s">
        <v>80</v>
      </c>
      <c r="B39" s="6" t="s">
        <v>4</v>
      </c>
      <c r="C39" s="6">
        <v>105</v>
      </c>
      <c r="D39" s="13" t="s">
        <v>32</v>
      </c>
      <c r="E39" s="14">
        <v>44941</v>
      </c>
      <c r="F39" s="6">
        <v>125</v>
      </c>
      <c r="G39" s="24">
        <v>4.8</v>
      </c>
      <c r="H39">
        <f>IF(MONTH(Table13[[#This Row],[Date of Call]])&lt;6, YEAR(Table13[[#This Row],[Date of Call]]),YEAR(Table13[[#This Row],[Date of Call]])+1)</f>
        <v>2023</v>
      </c>
      <c r="I39" t="str">
        <f>TEXT(Table13[[#This Row],[Date of Call]],"dddd")</f>
        <v>Sunday</v>
      </c>
      <c r="J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">
        <f>ROUND(Table13[[#This Row],[Satisfaction Rating]],0)</f>
        <v>5</v>
      </c>
    </row>
    <row r="40" spans="1:11" x14ac:dyDescent="0.3">
      <c r="A40" s="23" t="s">
        <v>81</v>
      </c>
      <c r="B40" s="6" t="s">
        <v>12</v>
      </c>
      <c r="C40" s="6">
        <v>75</v>
      </c>
      <c r="D40" s="13" t="s">
        <v>30</v>
      </c>
      <c r="E40" s="14">
        <v>44941</v>
      </c>
      <c r="F40" s="6">
        <v>26</v>
      </c>
      <c r="G40" s="24">
        <v>2.4</v>
      </c>
      <c r="H40">
        <f>IF(MONTH(Table13[[#This Row],[Date of Call]])&lt;6, YEAR(Table13[[#This Row],[Date of Call]]),YEAR(Table13[[#This Row],[Date of Call]])+1)</f>
        <v>2023</v>
      </c>
      <c r="I40" t="str">
        <f>TEXT(Table13[[#This Row],[Date of Call]],"dddd")</f>
        <v>Sunday</v>
      </c>
      <c r="J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0">
        <f>ROUND(Table13[[#This Row],[Satisfaction Rating]],0)</f>
        <v>2</v>
      </c>
    </row>
    <row r="41" spans="1:11" x14ac:dyDescent="0.3">
      <c r="A41" s="23" t="s">
        <v>82</v>
      </c>
      <c r="B41" s="6" t="s">
        <v>18</v>
      </c>
      <c r="C41" s="6">
        <v>94</v>
      </c>
      <c r="D41" s="13" t="s">
        <v>30</v>
      </c>
      <c r="E41" s="14">
        <v>44942</v>
      </c>
      <c r="F41" s="6">
        <v>120</v>
      </c>
      <c r="G41" s="24">
        <v>3.1</v>
      </c>
      <c r="H41">
        <f>IF(MONTH(Table13[[#This Row],[Date of Call]])&lt;6, YEAR(Table13[[#This Row],[Date of Call]]),YEAR(Table13[[#This Row],[Date of Call]])+1)</f>
        <v>2023</v>
      </c>
      <c r="I41" t="str">
        <f>TEXT(Table13[[#This Row],[Date of Call]],"dddd")</f>
        <v>Monday</v>
      </c>
      <c r="J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1">
        <f>ROUND(Table13[[#This Row],[Satisfaction Rating]],0)</f>
        <v>3</v>
      </c>
    </row>
    <row r="42" spans="1:11" x14ac:dyDescent="0.3">
      <c r="A42" s="23" t="s">
        <v>83</v>
      </c>
      <c r="B42" s="6" t="s">
        <v>7</v>
      </c>
      <c r="C42" s="6">
        <v>90</v>
      </c>
      <c r="D42" s="13" t="s">
        <v>29</v>
      </c>
      <c r="E42" s="14">
        <v>44942</v>
      </c>
      <c r="F42" s="6">
        <v>132</v>
      </c>
      <c r="G42" s="24">
        <v>3.2</v>
      </c>
      <c r="H42">
        <f>IF(MONTH(Table13[[#This Row],[Date of Call]])&lt;6, YEAR(Table13[[#This Row],[Date of Call]]),YEAR(Table13[[#This Row],[Date of Call]])+1)</f>
        <v>2023</v>
      </c>
      <c r="I42" t="str">
        <f>TEXT(Table13[[#This Row],[Date of Call]],"dddd")</f>
        <v>Monday</v>
      </c>
      <c r="J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2">
        <f>ROUND(Table13[[#This Row],[Satisfaction Rating]],0)</f>
        <v>3</v>
      </c>
    </row>
    <row r="43" spans="1:11" x14ac:dyDescent="0.3">
      <c r="A43" s="23" t="s">
        <v>84</v>
      </c>
      <c r="B43" s="6" t="s">
        <v>18</v>
      </c>
      <c r="C43" s="6">
        <v>81</v>
      </c>
      <c r="D43" s="13" t="s">
        <v>31</v>
      </c>
      <c r="E43" s="14">
        <v>44943</v>
      </c>
      <c r="F43" s="6">
        <v>86</v>
      </c>
      <c r="G43" s="24">
        <v>2.4</v>
      </c>
      <c r="H43">
        <f>IF(MONTH(Table13[[#This Row],[Date of Call]])&lt;6, YEAR(Table13[[#This Row],[Date of Call]]),YEAR(Table13[[#This Row],[Date of Call]])+1)</f>
        <v>2023</v>
      </c>
      <c r="I43" t="str">
        <f>TEXT(Table13[[#This Row],[Date of Call]],"dddd")</f>
        <v>Tuesday</v>
      </c>
      <c r="J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3">
        <f>ROUND(Table13[[#This Row],[Satisfaction Rating]],0)</f>
        <v>2</v>
      </c>
    </row>
    <row r="44" spans="1:11" x14ac:dyDescent="0.3">
      <c r="A44" s="23" t="s">
        <v>85</v>
      </c>
      <c r="B44" s="6" t="s">
        <v>12</v>
      </c>
      <c r="C44" s="6">
        <v>106</v>
      </c>
      <c r="D44" s="13" t="s">
        <v>32</v>
      </c>
      <c r="E44" s="14">
        <v>44943</v>
      </c>
      <c r="F44" s="6">
        <v>108</v>
      </c>
      <c r="G44" s="24">
        <v>5</v>
      </c>
      <c r="H44">
        <f>IF(MONTH(Table13[[#This Row],[Date of Call]])&lt;6, YEAR(Table13[[#This Row],[Date of Call]]),YEAR(Table13[[#This Row],[Date of Call]])+1)</f>
        <v>2023</v>
      </c>
      <c r="I44" t="str">
        <f>TEXT(Table13[[#This Row],[Date of Call]],"dddd")</f>
        <v>Tuesday</v>
      </c>
      <c r="J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">
        <f>ROUND(Table13[[#This Row],[Satisfaction Rating]],0)</f>
        <v>5</v>
      </c>
    </row>
    <row r="45" spans="1:11" x14ac:dyDescent="0.3">
      <c r="A45" s="23" t="s">
        <v>86</v>
      </c>
      <c r="B45" s="6" t="s">
        <v>7</v>
      </c>
      <c r="C45" s="6">
        <v>74</v>
      </c>
      <c r="D45" s="13" t="s">
        <v>31</v>
      </c>
      <c r="E45" s="14">
        <v>44943</v>
      </c>
      <c r="F45" s="6">
        <v>96</v>
      </c>
      <c r="G45" s="24">
        <v>4.7</v>
      </c>
      <c r="H45">
        <f>IF(MONTH(Table13[[#This Row],[Date of Call]])&lt;6, YEAR(Table13[[#This Row],[Date of Call]]),YEAR(Table13[[#This Row],[Date of Call]])+1)</f>
        <v>2023</v>
      </c>
      <c r="I45" t="str">
        <f>TEXT(Table13[[#This Row],[Date of Call]],"dddd")</f>
        <v>Tuesday</v>
      </c>
      <c r="J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">
        <f>ROUND(Table13[[#This Row],[Satisfaction Rating]],0)</f>
        <v>5</v>
      </c>
    </row>
    <row r="46" spans="1:11" x14ac:dyDescent="0.3">
      <c r="A46" s="23" t="s">
        <v>87</v>
      </c>
      <c r="B46" s="6" t="s">
        <v>13</v>
      </c>
      <c r="C46" s="6">
        <v>105</v>
      </c>
      <c r="D46" s="13" t="s">
        <v>29</v>
      </c>
      <c r="E46" s="14">
        <v>44944</v>
      </c>
      <c r="F46" s="6">
        <v>80</v>
      </c>
      <c r="G46" s="24">
        <v>4.7</v>
      </c>
      <c r="H46">
        <f>IF(MONTH(Table13[[#This Row],[Date of Call]])&lt;6, YEAR(Table13[[#This Row],[Date of Call]]),YEAR(Table13[[#This Row],[Date of Call]])+1)</f>
        <v>2023</v>
      </c>
      <c r="I46" t="str">
        <f>TEXT(Table13[[#This Row],[Date of Call]],"dddd")</f>
        <v>Wednesday</v>
      </c>
      <c r="J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6">
        <f>ROUND(Table13[[#This Row],[Satisfaction Rating]],0)</f>
        <v>5</v>
      </c>
    </row>
    <row r="47" spans="1:11" x14ac:dyDescent="0.3">
      <c r="A47" s="23" t="s">
        <v>88</v>
      </c>
      <c r="B47" s="6" t="s">
        <v>12</v>
      </c>
      <c r="C47" s="6">
        <v>89</v>
      </c>
      <c r="D47" s="13" t="s">
        <v>32</v>
      </c>
      <c r="E47" s="14">
        <v>44944</v>
      </c>
      <c r="F47" s="6">
        <v>155</v>
      </c>
      <c r="G47" s="24">
        <v>4.0999999999999996</v>
      </c>
      <c r="H47">
        <f>IF(MONTH(Table13[[#This Row],[Date of Call]])&lt;6, YEAR(Table13[[#This Row],[Date of Call]]),YEAR(Table13[[#This Row],[Date of Call]])+1)</f>
        <v>2023</v>
      </c>
      <c r="I47" t="str">
        <f>TEXT(Table13[[#This Row],[Date of Call]],"dddd")</f>
        <v>Wednesday</v>
      </c>
      <c r="J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7">
        <f>ROUND(Table13[[#This Row],[Satisfaction Rating]],0)</f>
        <v>4</v>
      </c>
    </row>
    <row r="48" spans="1:11" x14ac:dyDescent="0.3">
      <c r="A48" s="23" t="s">
        <v>89</v>
      </c>
      <c r="B48" s="6" t="s">
        <v>16</v>
      </c>
      <c r="C48" s="6">
        <v>132</v>
      </c>
      <c r="D48" s="13" t="s">
        <v>30</v>
      </c>
      <c r="E48" s="14">
        <v>44944</v>
      </c>
      <c r="F48" s="6">
        <v>168</v>
      </c>
      <c r="G48" s="24">
        <v>4.0999999999999996</v>
      </c>
      <c r="H48">
        <f>IF(MONTH(Table13[[#This Row],[Date of Call]])&lt;6, YEAR(Table13[[#This Row],[Date of Call]]),YEAR(Table13[[#This Row],[Date of Call]])+1)</f>
        <v>2023</v>
      </c>
      <c r="I48" t="str">
        <f>TEXT(Table13[[#This Row],[Date of Call]],"dddd")</f>
        <v>Wednesday</v>
      </c>
      <c r="J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8">
        <f>ROUND(Table13[[#This Row],[Satisfaction Rating]],0)</f>
        <v>4</v>
      </c>
    </row>
    <row r="49" spans="1:11" x14ac:dyDescent="0.3">
      <c r="A49" s="23" t="s">
        <v>90</v>
      </c>
      <c r="B49" s="6" t="s">
        <v>4</v>
      </c>
      <c r="C49" s="6">
        <v>105</v>
      </c>
      <c r="D49" s="13" t="s">
        <v>28</v>
      </c>
      <c r="E49" s="14">
        <v>44944</v>
      </c>
      <c r="F49" s="6">
        <v>56</v>
      </c>
      <c r="G49" s="24">
        <v>3.6</v>
      </c>
      <c r="H49">
        <f>IF(MONTH(Table13[[#This Row],[Date of Call]])&lt;6, YEAR(Table13[[#This Row],[Date of Call]]),YEAR(Table13[[#This Row],[Date of Call]])+1)</f>
        <v>2023</v>
      </c>
      <c r="I49" t="str">
        <f>TEXT(Table13[[#This Row],[Date of Call]],"dddd")</f>
        <v>Wednesday</v>
      </c>
      <c r="J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9">
        <f>ROUND(Table13[[#This Row],[Satisfaction Rating]],0)</f>
        <v>4</v>
      </c>
    </row>
    <row r="50" spans="1:11" x14ac:dyDescent="0.3">
      <c r="A50" s="23" t="s">
        <v>91</v>
      </c>
      <c r="B50" s="6" t="s">
        <v>14</v>
      </c>
      <c r="C50" s="6">
        <v>13</v>
      </c>
      <c r="D50" s="13" t="s">
        <v>30</v>
      </c>
      <c r="E50" s="14">
        <v>44945</v>
      </c>
      <c r="F50" s="6">
        <v>32</v>
      </c>
      <c r="G50" s="24">
        <v>4.4000000000000004</v>
      </c>
      <c r="H50">
        <f>IF(MONTH(Table13[[#This Row],[Date of Call]])&lt;6, YEAR(Table13[[#This Row],[Date of Call]]),YEAR(Table13[[#This Row],[Date of Call]])+1)</f>
        <v>2023</v>
      </c>
      <c r="I50" t="str">
        <f>TEXT(Table13[[#This Row],[Date of Call]],"dddd")</f>
        <v>Thursday</v>
      </c>
      <c r="J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50">
        <f>ROUND(Table13[[#This Row],[Satisfaction Rating]],0)</f>
        <v>4</v>
      </c>
    </row>
    <row r="51" spans="1:11" x14ac:dyDescent="0.3">
      <c r="A51" s="23" t="s">
        <v>92</v>
      </c>
      <c r="B51" s="6" t="s">
        <v>17</v>
      </c>
      <c r="C51" s="6">
        <v>131</v>
      </c>
      <c r="D51" s="13" t="s">
        <v>28</v>
      </c>
      <c r="E51" s="14">
        <v>44945</v>
      </c>
      <c r="F51" s="6">
        <v>78</v>
      </c>
      <c r="G51" s="24">
        <v>4.4000000000000004</v>
      </c>
      <c r="H51">
        <f>IF(MONTH(Table13[[#This Row],[Date of Call]])&lt;6, YEAR(Table13[[#This Row],[Date of Call]]),YEAR(Table13[[#This Row],[Date of Call]])+1)</f>
        <v>2023</v>
      </c>
      <c r="I51" t="str">
        <f>TEXT(Table13[[#This Row],[Date of Call]],"dddd")</f>
        <v>Thursday</v>
      </c>
      <c r="J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1">
        <f>ROUND(Table13[[#This Row],[Satisfaction Rating]],0)</f>
        <v>4</v>
      </c>
    </row>
    <row r="52" spans="1:11" x14ac:dyDescent="0.3">
      <c r="A52" s="23" t="s">
        <v>93</v>
      </c>
      <c r="B52" s="6" t="s">
        <v>7</v>
      </c>
      <c r="C52" s="6">
        <v>104</v>
      </c>
      <c r="D52" s="13" t="s">
        <v>32</v>
      </c>
      <c r="E52" s="14">
        <v>44945</v>
      </c>
      <c r="F52" s="6">
        <v>86</v>
      </c>
      <c r="G52" s="24">
        <v>4</v>
      </c>
      <c r="H52">
        <f>IF(MONTH(Table13[[#This Row],[Date of Call]])&lt;6, YEAR(Table13[[#This Row],[Date of Call]]),YEAR(Table13[[#This Row],[Date of Call]])+1)</f>
        <v>2023</v>
      </c>
      <c r="I52" t="str">
        <f>TEXT(Table13[[#This Row],[Date of Call]],"dddd")</f>
        <v>Thursday</v>
      </c>
      <c r="J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2">
        <f>ROUND(Table13[[#This Row],[Satisfaction Rating]],0)</f>
        <v>4</v>
      </c>
    </row>
    <row r="53" spans="1:11" x14ac:dyDescent="0.3">
      <c r="A53" s="23" t="s">
        <v>94</v>
      </c>
      <c r="B53" s="6" t="s">
        <v>6</v>
      </c>
      <c r="C53" s="6">
        <v>90</v>
      </c>
      <c r="D53" s="13" t="s">
        <v>29</v>
      </c>
      <c r="E53" s="14">
        <v>44946</v>
      </c>
      <c r="F53" s="6">
        <v>64</v>
      </c>
      <c r="G53" s="24">
        <v>3.8</v>
      </c>
      <c r="H53">
        <f>IF(MONTH(Table13[[#This Row],[Date of Call]])&lt;6, YEAR(Table13[[#This Row],[Date of Call]]),YEAR(Table13[[#This Row],[Date of Call]])+1)</f>
        <v>2023</v>
      </c>
      <c r="I53" t="str">
        <f>TEXT(Table13[[#This Row],[Date of Call]],"dddd")</f>
        <v>Friday</v>
      </c>
      <c r="J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3">
        <f>ROUND(Table13[[#This Row],[Satisfaction Rating]],0)</f>
        <v>4</v>
      </c>
    </row>
    <row r="54" spans="1:11" x14ac:dyDescent="0.3">
      <c r="A54" s="23" t="s">
        <v>95</v>
      </c>
      <c r="B54" s="6" t="s">
        <v>15</v>
      </c>
      <c r="C54" s="6">
        <v>37</v>
      </c>
      <c r="D54" s="13" t="s">
        <v>29</v>
      </c>
      <c r="E54" s="14">
        <v>44946</v>
      </c>
      <c r="F54" s="6">
        <v>96</v>
      </c>
      <c r="G54" s="24">
        <v>3.6</v>
      </c>
      <c r="H54">
        <f>IF(MONTH(Table13[[#This Row],[Date of Call]])&lt;6, YEAR(Table13[[#This Row],[Date of Call]]),YEAR(Table13[[#This Row],[Date of Call]])+1)</f>
        <v>2023</v>
      </c>
      <c r="I54" t="str">
        <f>TEXT(Table13[[#This Row],[Date of Call]],"dddd")</f>
        <v>Friday</v>
      </c>
      <c r="J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4">
        <f>ROUND(Table13[[#This Row],[Satisfaction Rating]],0)</f>
        <v>4</v>
      </c>
    </row>
    <row r="55" spans="1:11" x14ac:dyDescent="0.3">
      <c r="A55" s="23" t="s">
        <v>96</v>
      </c>
      <c r="B55" s="6" t="s">
        <v>5</v>
      </c>
      <c r="C55" s="6">
        <v>149</v>
      </c>
      <c r="D55" s="13" t="s">
        <v>28</v>
      </c>
      <c r="E55" s="14">
        <v>44946</v>
      </c>
      <c r="F55" s="6">
        <v>72</v>
      </c>
      <c r="G55" s="24">
        <v>4.3</v>
      </c>
      <c r="H55">
        <f>IF(MONTH(Table13[[#This Row],[Date of Call]])&lt;6, YEAR(Table13[[#This Row],[Date of Call]]),YEAR(Table13[[#This Row],[Date of Call]])+1)</f>
        <v>2023</v>
      </c>
      <c r="I55" t="str">
        <f>TEXT(Table13[[#This Row],[Date of Call]],"dddd")</f>
        <v>Friday</v>
      </c>
      <c r="J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5">
        <f>ROUND(Table13[[#This Row],[Satisfaction Rating]],0)</f>
        <v>4</v>
      </c>
    </row>
    <row r="56" spans="1:11" x14ac:dyDescent="0.3">
      <c r="A56" s="23" t="s">
        <v>97</v>
      </c>
      <c r="B56" s="6" t="s">
        <v>16</v>
      </c>
      <c r="C56" s="6">
        <v>100</v>
      </c>
      <c r="D56" s="13" t="s">
        <v>31</v>
      </c>
      <c r="E56" s="14">
        <v>44947</v>
      </c>
      <c r="F56" s="6">
        <v>135</v>
      </c>
      <c r="G56" s="24">
        <v>3.8</v>
      </c>
      <c r="H56">
        <f>IF(MONTH(Table13[[#This Row],[Date of Call]])&lt;6, YEAR(Table13[[#This Row],[Date of Call]]),YEAR(Table13[[#This Row],[Date of Call]])+1)</f>
        <v>2023</v>
      </c>
      <c r="I56" t="str">
        <f>TEXT(Table13[[#This Row],[Date of Call]],"dddd")</f>
        <v>Saturday</v>
      </c>
      <c r="J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6">
        <f>ROUND(Table13[[#This Row],[Satisfaction Rating]],0)</f>
        <v>4</v>
      </c>
    </row>
    <row r="57" spans="1:11" x14ac:dyDescent="0.3">
      <c r="A57" s="23" t="s">
        <v>98</v>
      </c>
      <c r="B57" s="6" t="s">
        <v>16</v>
      </c>
      <c r="C57" s="6">
        <v>79</v>
      </c>
      <c r="D57" s="13" t="s">
        <v>30</v>
      </c>
      <c r="E57" s="14">
        <v>44947</v>
      </c>
      <c r="F57" s="6">
        <v>140</v>
      </c>
      <c r="G57" s="24">
        <v>4.5</v>
      </c>
      <c r="H57">
        <f>IF(MONTH(Table13[[#This Row],[Date of Call]])&lt;6, YEAR(Table13[[#This Row],[Date of Call]]),YEAR(Table13[[#This Row],[Date of Call]])+1)</f>
        <v>2023</v>
      </c>
      <c r="I57" t="str">
        <f>TEXT(Table13[[#This Row],[Date of Call]],"dddd")</f>
        <v>Saturday</v>
      </c>
      <c r="J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7">
        <f>ROUND(Table13[[#This Row],[Satisfaction Rating]],0)</f>
        <v>5</v>
      </c>
    </row>
    <row r="58" spans="1:11" x14ac:dyDescent="0.3">
      <c r="A58" s="23" t="s">
        <v>99</v>
      </c>
      <c r="B58" s="6" t="s">
        <v>11</v>
      </c>
      <c r="C58" s="6">
        <v>157</v>
      </c>
      <c r="D58" s="13" t="s">
        <v>28</v>
      </c>
      <c r="E58" s="14">
        <v>44947</v>
      </c>
      <c r="F58" s="6">
        <v>69</v>
      </c>
      <c r="G58" s="24">
        <v>4.5</v>
      </c>
      <c r="H58">
        <f>IF(MONTH(Table13[[#This Row],[Date of Call]])&lt;6, YEAR(Table13[[#This Row],[Date of Call]]),YEAR(Table13[[#This Row],[Date of Call]])+1)</f>
        <v>2023</v>
      </c>
      <c r="I58" t="str">
        <f>TEXT(Table13[[#This Row],[Date of Call]],"dddd")</f>
        <v>Saturday</v>
      </c>
      <c r="J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8">
        <f>ROUND(Table13[[#This Row],[Satisfaction Rating]],0)</f>
        <v>5</v>
      </c>
    </row>
    <row r="59" spans="1:11" x14ac:dyDescent="0.3">
      <c r="A59" s="23" t="s">
        <v>100</v>
      </c>
      <c r="B59" s="6" t="s">
        <v>16</v>
      </c>
      <c r="C59" s="6">
        <v>59</v>
      </c>
      <c r="D59" s="13" t="s">
        <v>32</v>
      </c>
      <c r="E59" s="14">
        <v>44948</v>
      </c>
      <c r="F59" s="6">
        <v>136</v>
      </c>
      <c r="G59" s="24">
        <v>4.5999999999999996</v>
      </c>
      <c r="H59">
        <f>IF(MONTH(Table13[[#This Row],[Date of Call]])&lt;6, YEAR(Table13[[#This Row],[Date of Call]]),YEAR(Table13[[#This Row],[Date of Call]])+1)</f>
        <v>2023</v>
      </c>
      <c r="I59" t="str">
        <f>TEXT(Table13[[#This Row],[Date of Call]],"dddd")</f>
        <v>Sunday</v>
      </c>
      <c r="J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9">
        <f>ROUND(Table13[[#This Row],[Satisfaction Rating]],0)</f>
        <v>5</v>
      </c>
    </row>
    <row r="60" spans="1:11" x14ac:dyDescent="0.3">
      <c r="A60" s="23" t="s">
        <v>101</v>
      </c>
      <c r="B60" s="6" t="s">
        <v>15</v>
      </c>
      <c r="C60" s="6">
        <v>83</v>
      </c>
      <c r="D60" s="13" t="s">
        <v>28</v>
      </c>
      <c r="E60" s="14">
        <v>44948</v>
      </c>
      <c r="F60" s="6">
        <v>28</v>
      </c>
      <c r="G60" s="24">
        <v>4.5</v>
      </c>
      <c r="H60">
        <f>IF(MONTH(Table13[[#This Row],[Date of Call]])&lt;6, YEAR(Table13[[#This Row],[Date of Call]]),YEAR(Table13[[#This Row],[Date of Call]])+1)</f>
        <v>2023</v>
      </c>
      <c r="I60" t="str">
        <f>TEXT(Table13[[#This Row],[Date of Call]],"dddd")</f>
        <v>Sunday</v>
      </c>
      <c r="J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0">
        <f>ROUND(Table13[[#This Row],[Satisfaction Rating]],0)</f>
        <v>5</v>
      </c>
    </row>
    <row r="61" spans="1:11" x14ac:dyDescent="0.3">
      <c r="A61" s="23" t="s">
        <v>102</v>
      </c>
      <c r="B61" s="6" t="s">
        <v>11</v>
      </c>
      <c r="C61" s="6">
        <v>58</v>
      </c>
      <c r="D61" s="13" t="s">
        <v>29</v>
      </c>
      <c r="E61" s="14">
        <v>44949</v>
      </c>
      <c r="F61" s="6">
        <v>135</v>
      </c>
      <c r="G61" s="24">
        <v>3.3</v>
      </c>
      <c r="H61">
        <f>IF(MONTH(Table13[[#This Row],[Date of Call]])&lt;6, YEAR(Table13[[#This Row],[Date of Call]]),YEAR(Table13[[#This Row],[Date of Call]])+1)</f>
        <v>2023</v>
      </c>
      <c r="I61" t="str">
        <f>TEXT(Table13[[#This Row],[Date of Call]],"dddd")</f>
        <v>Monday</v>
      </c>
      <c r="J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1">
        <f>ROUND(Table13[[#This Row],[Satisfaction Rating]],0)</f>
        <v>3</v>
      </c>
    </row>
    <row r="62" spans="1:11" x14ac:dyDescent="0.3">
      <c r="A62" s="23" t="s">
        <v>103</v>
      </c>
      <c r="B62" s="6" t="s">
        <v>18</v>
      </c>
      <c r="C62" s="6">
        <v>118</v>
      </c>
      <c r="D62" s="13" t="s">
        <v>29</v>
      </c>
      <c r="E62" s="14">
        <v>44949</v>
      </c>
      <c r="F62" s="6">
        <v>126</v>
      </c>
      <c r="G62" s="24">
        <v>2.2999999999999998</v>
      </c>
      <c r="H62">
        <f>IF(MONTH(Table13[[#This Row],[Date of Call]])&lt;6, YEAR(Table13[[#This Row],[Date of Call]]),YEAR(Table13[[#This Row],[Date of Call]])+1)</f>
        <v>2023</v>
      </c>
      <c r="I62" t="str">
        <f>TEXT(Table13[[#This Row],[Date of Call]],"dddd")</f>
        <v>Monday</v>
      </c>
      <c r="J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2">
        <f>ROUND(Table13[[#This Row],[Satisfaction Rating]],0)</f>
        <v>2</v>
      </c>
    </row>
    <row r="63" spans="1:11" x14ac:dyDescent="0.3">
      <c r="A63" s="23" t="s">
        <v>104</v>
      </c>
      <c r="B63" s="6" t="s">
        <v>14</v>
      </c>
      <c r="C63" s="6">
        <v>63</v>
      </c>
      <c r="D63" s="13" t="s">
        <v>32</v>
      </c>
      <c r="E63" s="14">
        <v>44949</v>
      </c>
      <c r="F63" s="6">
        <v>160</v>
      </c>
      <c r="G63" s="24">
        <v>4.3</v>
      </c>
      <c r="H63">
        <f>IF(MONTH(Table13[[#This Row],[Date of Call]])&lt;6, YEAR(Table13[[#This Row],[Date of Call]]),YEAR(Table13[[#This Row],[Date of Call]])+1)</f>
        <v>2023</v>
      </c>
      <c r="I63" t="str">
        <f>TEXT(Table13[[#This Row],[Date of Call]],"dddd")</f>
        <v>Monday</v>
      </c>
      <c r="J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3">
        <f>ROUND(Table13[[#This Row],[Satisfaction Rating]],0)</f>
        <v>4</v>
      </c>
    </row>
    <row r="64" spans="1:11" x14ac:dyDescent="0.3">
      <c r="A64" s="23" t="s">
        <v>105</v>
      </c>
      <c r="B64" s="6" t="s">
        <v>11</v>
      </c>
      <c r="C64" s="6">
        <v>95</v>
      </c>
      <c r="D64" s="13" t="s">
        <v>29</v>
      </c>
      <c r="E64" s="14">
        <v>44950</v>
      </c>
      <c r="F64" s="6">
        <v>48</v>
      </c>
      <c r="G64" s="24">
        <v>4.5999999999999996</v>
      </c>
      <c r="H64">
        <f>IF(MONTH(Table13[[#This Row],[Date of Call]])&lt;6, YEAR(Table13[[#This Row],[Date of Call]]),YEAR(Table13[[#This Row],[Date of Call]])+1)</f>
        <v>2023</v>
      </c>
      <c r="I64" t="str">
        <f>TEXT(Table13[[#This Row],[Date of Call]],"dddd")</f>
        <v>Tuesday</v>
      </c>
      <c r="J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">
        <f>ROUND(Table13[[#This Row],[Satisfaction Rating]],0)</f>
        <v>5</v>
      </c>
    </row>
    <row r="65" spans="1:11" x14ac:dyDescent="0.3">
      <c r="A65" s="23" t="s">
        <v>106</v>
      </c>
      <c r="B65" s="6" t="s">
        <v>16</v>
      </c>
      <c r="C65" s="6">
        <v>74</v>
      </c>
      <c r="D65" s="13" t="s">
        <v>28</v>
      </c>
      <c r="E65" s="14">
        <v>44950</v>
      </c>
      <c r="F65" s="6">
        <v>66</v>
      </c>
      <c r="G65" s="24">
        <v>4</v>
      </c>
      <c r="H65">
        <f>IF(MONTH(Table13[[#This Row],[Date of Call]])&lt;6, YEAR(Table13[[#This Row],[Date of Call]]),YEAR(Table13[[#This Row],[Date of Call]])+1)</f>
        <v>2023</v>
      </c>
      <c r="I65" t="str">
        <f>TEXT(Table13[[#This Row],[Date of Call]],"dddd")</f>
        <v>Tuesday</v>
      </c>
      <c r="J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5">
        <f>ROUND(Table13[[#This Row],[Satisfaction Rating]],0)</f>
        <v>4</v>
      </c>
    </row>
    <row r="66" spans="1:11" x14ac:dyDescent="0.3">
      <c r="A66" s="23" t="s">
        <v>107</v>
      </c>
      <c r="B66" s="6" t="s">
        <v>13</v>
      </c>
      <c r="C66" s="6">
        <v>130</v>
      </c>
      <c r="D66" s="13" t="s">
        <v>31</v>
      </c>
      <c r="E66" s="14">
        <v>44950</v>
      </c>
      <c r="F66" s="6">
        <v>126</v>
      </c>
      <c r="G66" s="24">
        <v>2.5</v>
      </c>
      <c r="H66">
        <f>IF(MONTH(Table13[[#This Row],[Date of Call]])&lt;6, YEAR(Table13[[#This Row],[Date of Call]]),YEAR(Table13[[#This Row],[Date of Call]])+1)</f>
        <v>2023</v>
      </c>
      <c r="I66" t="str">
        <f>TEXT(Table13[[#This Row],[Date of Call]],"dddd")</f>
        <v>Tuesday</v>
      </c>
      <c r="J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6">
        <f>ROUND(Table13[[#This Row],[Satisfaction Rating]],0)</f>
        <v>3</v>
      </c>
    </row>
    <row r="67" spans="1:11" x14ac:dyDescent="0.3">
      <c r="A67" s="23" t="s">
        <v>108</v>
      </c>
      <c r="B67" s="6" t="s">
        <v>18</v>
      </c>
      <c r="C67" s="6">
        <v>110</v>
      </c>
      <c r="D67" s="13" t="s">
        <v>30</v>
      </c>
      <c r="E67" s="14">
        <v>44950</v>
      </c>
      <c r="F67" s="6">
        <v>96</v>
      </c>
      <c r="G67" s="24">
        <v>5</v>
      </c>
      <c r="H67">
        <f>IF(MONTH(Table13[[#This Row],[Date of Call]])&lt;6, YEAR(Table13[[#This Row],[Date of Call]]),YEAR(Table13[[#This Row],[Date of Call]])+1)</f>
        <v>2023</v>
      </c>
      <c r="I67" t="str">
        <f>TEXT(Table13[[#This Row],[Date of Call]],"dddd")</f>
        <v>Tuesday</v>
      </c>
      <c r="J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">
        <f>ROUND(Table13[[#This Row],[Satisfaction Rating]],0)</f>
        <v>5</v>
      </c>
    </row>
    <row r="68" spans="1:11" x14ac:dyDescent="0.3">
      <c r="A68" s="23" t="s">
        <v>109</v>
      </c>
      <c r="B68" s="6" t="s">
        <v>16</v>
      </c>
      <c r="C68" s="6">
        <v>71</v>
      </c>
      <c r="D68" s="13" t="s">
        <v>32</v>
      </c>
      <c r="E68" s="14">
        <v>44951</v>
      </c>
      <c r="F68" s="6">
        <v>90</v>
      </c>
      <c r="G68" s="24">
        <v>3.8</v>
      </c>
      <c r="H68">
        <f>IF(MONTH(Table13[[#This Row],[Date of Call]])&lt;6, YEAR(Table13[[#This Row],[Date of Call]]),YEAR(Table13[[#This Row],[Date of Call]])+1)</f>
        <v>2023</v>
      </c>
      <c r="I68" t="str">
        <f>TEXT(Table13[[#This Row],[Date of Call]],"dddd")</f>
        <v>Wednesday</v>
      </c>
      <c r="J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8">
        <f>ROUND(Table13[[#This Row],[Satisfaction Rating]],0)</f>
        <v>4</v>
      </c>
    </row>
    <row r="69" spans="1:11" x14ac:dyDescent="0.3">
      <c r="A69" s="23" t="s">
        <v>110</v>
      </c>
      <c r="B69" s="6" t="s">
        <v>4</v>
      </c>
      <c r="C69" s="6">
        <v>147</v>
      </c>
      <c r="D69" s="13" t="s">
        <v>31</v>
      </c>
      <c r="E69" s="14">
        <v>44951</v>
      </c>
      <c r="F69" s="6">
        <v>105</v>
      </c>
      <c r="G69" s="24">
        <v>4.4000000000000004</v>
      </c>
      <c r="H69">
        <f>IF(MONTH(Table13[[#This Row],[Date of Call]])&lt;6, YEAR(Table13[[#This Row],[Date of Call]]),YEAR(Table13[[#This Row],[Date of Call]])+1)</f>
        <v>2023</v>
      </c>
      <c r="I69" t="str">
        <f>TEXT(Table13[[#This Row],[Date of Call]],"dddd")</f>
        <v>Wednesday</v>
      </c>
      <c r="J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9">
        <f>ROUND(Table13[[#This Row],[Satisfaction Rating]],0)</f>
        <v>4</v>
      </c>
    </row>
    <row r="70" spans="1:11" x14ac:dyDescent="0.3">
      <c r="A70" s="23" t="s">
        <v>111</v>
      </c>
      <c r="B70" s="6" t="s">
        <v>7</v>
      </c>
      <c r="C70" s="6">
        <v>69</v>
      </c>
      <c r="D70" s="13" t="s">
        <v>29</v>
      </c>
      <c r="E70" s="14">
        <v>44952</v>
      </c>
      <c r="F70" s="6">
        <v>40</v>
      </c>
      <c r="G70" s="24">
        <v>3.8</v>
      </c>
      <c r="H70">
        <f>IF(MONTH(Table13[[#This Row],[Date of Call]])&lt;6, YEAR(Table13[[#This Row],[Date of Call]]),YEAR(Table13[[#This Row],[Date of Call]])+1)</f>
        <v>2023</v>
      </c>
      <c r="I70" t="str">
        <f>TEXT(Table13[[#This Row],[Date of Call]],"dddd")</f>
        <v>Thursday</v>
      </c>
      <c r="J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">
        <f>ROUND(Table13[[#This Row],[Satisfaction Rating]],0)</f>
        <v>4</v>
      </c>
    </row>
    <row r="71" spans="1:11" x14ac:dyDescent="0.3">
      <c r="A71" s="23" t="s">
        <v>112</v>
      </c>
      <c r="B71" s="6" t="s">
        <v>18</v>
      </c>
      <c r="C71" s="6">
        <v>50</v>
      </c>
      <c r="D71" s="13" t="s">
        <v>32</v>
      </c>
      <c r="E71" s="14">
        <v>44952</v>
      </c>
      <c r="F71" s="6">
        <v>60</v>
      </c>
      <c r="G71" s="24">
        <v>2</v>
      </c>
      <c r="H71">
        <f>IF(MONTH(Table13[[#This Row],[Date of Call]])&lt;6, YEAR(Table13[[#This Row],[Date of Call]]),YEAR(Table13[[#This Row],[Date of Call]])+1)</f>
        <v>2023</v>
      </c>
      <c r="I71" t="str">
        <f>TEXT(Table13[[#This Row],[Date of Call]],"dddd")</f>
        <v>Thursday</v>
      </c>
      <c r="J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1">
        <f>ROUND(Table13[[#This Row],[Satisfaction Rating]],0)</f>
        <v>2</v>
      </c>
    </row>
    <row r="72" spans="1:11" x14ac:dyDescent="0.3">
      <c r="A72" s="23" t="s">
        <v>113</v>
      </c>
      <c r="B72" s="6" t="s">
        <v>13</v>
      </c>
      <c r="C72" s="6">
        <v>124</v>
      </c>
      <c r="D72" s="13" t="s">
        <v>31</v>
      </c>
      <c r="E72" s="14">
        <v>44953</v>
      </c>
      <c r="F72" s="6">
        <v>215</v>
      </c>
      <c r="G72" s="24">
        <v>4.0999999999999996</v>
      </c>
      <c r="H72">
        <f>IF(MONTH(Table13[[#This Row],[Date of Call]])&lt;6, YEAR(Table13[[#This Row],[Date of Call]]),YEAR(Table13[[#This Row],[Date of Call]])+1)</f>
        <v>2023</v>
      </c>
      <c r="I72" t="str">
        <f>TEXT(Table13[[#This Row],[Date of Call]],"dddd")</f>
        <v>Friday</v>
      </c>
      <c r="J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2">
        <f>ROUND(Table13[[#This Row],[Satisfaction Rating]],0)</f>
        <v>4</v>
      </c>
    </row>
    <row r="73" spans="1:11" x14ac:dyDescent="0.3">
      <c r="A73" s="23" t="s">
        <v>114</v>
      </c>
      <c r="B73" s="6" t="s">
        <v>8</v>
      </c>
      <c r="C73" s="6">
        <v>81</v>
      </c>
      <c r="D73" s="13" t="s">
        <v>28</v>
      </c>
      <c r="E73" s="14">
        <v>44953</v>
      </c>
      <c r="F73" s="6">
        <v>156</v>
      </c>
      <c r="G73" s="24">
        <v>2.6</v>
      </c>
      <c r="H73">
        <f>IF(MONTH(Table13[[#This Row],[Date of Call]])&lt;6, YEAR(Table13[[#This Row],[Date of Call]]),YEAR(Table13[[#This Row],[Date of Call]])+1)</f>
        <v>2023</v>
      </c>
      <c r="I73" t="str">
        <f>TEXT(Table13[[#This Row],[Date of Call]],"dddd")</f>
        <v>Friday</v>
      </c>
      <c r="J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3">
        <f>ROUND(Table13[[#This Row],[Satisfaction Rating]],0)</f>
        <v>3</v>
      </c>
    </row>
    <row r="74" spans="1:11" x14ac:dyDescent="0.3">
      <c r="A74" s="23" t="s">
        <v>115</v>
      </c>
      <c r="B74" s="6" t="s">
        <v>9</v>
      </c>
      <c r="C74" s="6">
        <v>141</v>
      </c>
      <c r="D74" s="13" t="s">
        <v>30</v>
      </c>
      <c r="E74" s="14">
        <v>44953</v>
      </c>
      <c r="F74" s="6">
        <v>54</v>
      </c>
      <c r="G74" s="24">
        <v>0</v>
      </c>
      <c r="H74">
        <f>IF(MONTH(Table13[[#This Row],[Date of Call]])&lt;6, YEAR(Table13[[#This Row],[Date of Call]]),YEAR(Table13[[#This Row],[Date of Call]])+1)</f>
        <v>2023</v>
      </c>
      <c r="I74" t="str">
        <f>TEXT(Table13[[#This Row],[Date of Call]],"dddd")</f>
        <v>Friday</v>
      </c>
      <c r="J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4">
        <f>ROUND(Table13[[#This Row],[Satisfaction Rating]],0)</f>
        <v>0</v>
      </c>
    </row>
    <row r="75" spans="1:11" x14ac:dyDescent="0.3">
      <c r="A75" s="23" t="s">
        <v>116</v>
      </c>
      <c r="B75" s="6" t="s">
        <v>9</v>
      </c>
      <c r="C75" s="6">
        <v>168</v>
      </c>
      <c r="D75" s="13" t="s">
        <v>30</v>
      </c>
      <c r="E75" s="14">
        <v>44954</v>
      </c>
      <c r="F75" s="6">
        <v>160</v>
      </c>
      <c r="G75" s="24">
        <v>3.9</v>
      </c>
      <c r="H75">
        <f>IF(MONTH(Table13[[#This Row],[Date of Call]])&lt;6, YEAR(Table13[[#This Row],[Date of Call]]),YEAR(Table13[[#This Row],[Date of Call]])+1)</f>
        <v>2023</v>
      </c>
      <c r="I75" t="str">
        <f>TEXT(Table13[[#This Row],[Date of Call]],"dddd")</f>
        <v>Saturday</v>
      </c>
      <c r="J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5">
        <f>ROUND(Table13[[#This Row],[Satisfaction Rating]],0)</f>
        <v>4</v>
      </c>
    </row>
    <row r="76" spans="1:11" x14ac:dyDescent="0.3">
      <c r="A76" s="23" t="s">
        <v>117</v>
      </c>
      <c r="B76" s="6" t="s">
        <v>4</v>
      </c>
      <c r="C76" s="6">
        <v>101</v>
      </c>
      <c r="D76" s="13" t="s">
        <v>28</v>
      </c>
      <c r="E76" s="14">
        <v>44954</v>
      </c>
      <c r="F76" s="6">
        <v>80</v>
      </c>
      <c r="G76" s="24">
        <v>4.8</v>
      </c>
      <c r="H76">
        <f>IF(MONTH(Table13[[#This Row],[Date of Call]])&lt;6, YEAR(Table13[[#This Row],[Date of Call]]),YEAR(Table13[[#This Row],[Date of Call]])+1)</f>
        <v>2023</v>
      </c>
      <c r="I76" t="str">
        <f>TEXT(Table13[[#This Row],[Date of Call]],"dddd")</f>
        <v>Saturday</v>
      </c>
      <c r="J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6">
        <f>ROUND(Table13[[#This Row],[Satisfaction Rating]],0)</f>
        <v>5</v>
      </c>
    </row>
    <row r="77" spans="1:11" x14ac:dyDescent="0.3">
      <c r="A77" s="23" t="s">
        <v>118</v>
      </c>
      <c r="B77" s="6" t="s">
        <v>16</v>
      </c>
      <c r="C77" s="6">
        <v>67</v>
      </c>
      <c r="D77" s="13" t="s">
        <v>28</v>
      </c>
      <c r="E77" s="14">
        <v>44954</v>
      </c>
      <c r="F77" s="6">
        <v>168</v>
      </c>
      <c r="G77" s="24">
        <v>2.6</v>
      </c>
      <c r="H77">
        <f>IF(MONTH(Table13[[#This Row],[Date of Call]])&lt;6, YEAR(Table13[[#This Row],[Date of Call]]),YEAR(Table13[[#This Row],[Date of Call]])+1)</f>
        <v>2023</v>
      </c>
      <c r="I77" t="str">
        <f>TEXT(Table13[[#This Row],[Date of Call]],"dddd")</f>
        <v>Saturday</v>
      </c>
      <c r="J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">
        <f>ROUND(Table13[[#This Row],[Satisfaction Rating]],0)</f>
        <v>3</v>
      </c>
    </row>
    <row r="78" spans="1:11" x14ac:dyDescent="0.3">
      <c r="A78" s="23" t="s">
        <v>119</v>
      </c>
      <c r="B78" s="6" t="s">
        <v>11</v>
      </c>
      <c r="C78" s="6">
        <v>114</v>
      </c>
      <c r="D78" s="13" t="s">
        <v>30</v>
      </c>
      <c r="E78" s="14">
        <v>44956</v>
      </c>
      <c r="F78" s="6">
        <v>42</v>
      </c>
      <c r="G78" s="24">
        <v>2.6</v>
      </c>
      <c r="H78">
        <f>IF(MONTH(Table13[[#This Row],[Date of Call]])&lt;6, YEAR(Table13[[#This Row],[Date of Call]]),YEAR(Table13[[#This Row],[Date of Call]])+1)</f>
        <v>2023</v>
      </c>
      <c r="I78" t="str">
        <f>TEXT(Table13[[#This Row],[Date of Call]],"dddd")</f>
        <v>Monday</v>
      </c>
      <c r="J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8">
        <f>ROUND(Table13[[#This Row],[Satisfaction Rating]],0)</f>
        <v>3</v>
      </c>
    </row>
    <row r="79" spans="1:11" x14ac:dyDescent="0.3">
      <c r="A79" s="23" t="s">
        <v>120</v>
      </c>
      <c r="B79" s="6" t="s">
        <v>8</v>
      </c>
      <c r="C79" s="6">
        <v>42</v>
      </c>
      <c r="D79" s="13" t="s">
        <v>28</v>
      </c>
      <c r="E79" s="14">
        <v>44956</v>
      </c>
      <c r="F79" s="6">
        <v>205</v>
      </c>
      <c r="G79" s="24">
        <v>3.6</v>
      </c>
      <c r="H79">
        <f>IF(MONTH(Table13[[#This Row],[Date of Call]])&lt;6, YEAR(Table13[[#This Row],[Date of Call]]),YEAR(Table13[[#This Row],[Date of Call]])+1)</f>
        <v>2023</v>
      </c>
      <c r="I79" t="str">
        <f>TEXT(Table13[[#This Row],[Date of Call]],"dddd")</f>
        <v>Monday</v>
      </c>
      <c r="J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9">
        <f>ROUND(Table13[[#This Row],[Satisfaction Rating]],0)</f>
        <v>4</v>
      </c>
    </row>
    <row r="80" spans="1:11" x14ac:dyDescent="0.3">
      <c r="A80" s="23" t="s">
        <v>121</v>
      </c>
      <c r="B80" s="6" t="s">
        <v>14</v>
      </c>
      <c r="C80" s="6">
        <v>69</v>
      </c>
      <c r="D80" s="13" t="s">
        <v>30</v>
      </c>
      <c r="E80" s="14">
        <v>44956</v>
      </c>
      <c r="F80" s="6">
        <v>108</v>
      </c>
      <c r="G80" s="24">
        <v>3.3</v>
      </c>
      <c r="H80">
        <f>IF(MONTH(Table13[[#This Row],[Date of Call]])&lt;6, YEAR(Table13[[#This Row],[Date of Call]]),YEAR(Table13[[#This Row],[Date of Call]])+1)</f>
        <v>2023</v>
      </c>
      <c r="I80" t="str">
        <f>TEXT(Table13[[#This Row],[Date of Call]],"dddd")</f>
        <v>Monday</v>
      </c>
      <c r="J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">
        <f>ROUND(Table13[[#This Row],[Satisfaction Rating]],0)</f>
        <v>3</v>
      </c>
    </row>
    <row r="81" spans="1:11" x14ac:dyDescent="0.3">
      <c r="A81" s="23" t="s">
        <v>122</v>
      </c>
      <c r="B81" s="6" t="s">
        <v>13</v>
      </c>
      <c r="C81" s="6">
        <v>145</v>
      </c>
      <c r="D81" s="13" t="s">
        <v>29</v>
      </c>
      <c r="E81" s="14">
        <v>44956</v>
      </c>
      <c r="F81" s="6">
        <v>78</v>
      </c>
      <c r="G81" s="24">
        <v>1.9</v>
      </c>
      <c r="H81">
        <f>IF(MONTH(Table13[[#This Row],[Date of Call]])&lt;6, YEAR(Table13[[#This Row],[Date of Call]]),YEAR(Table13[[#This Row],[Date of Call]])+1)</f>
        <v>2023</v>
      </c>
      <c r="I81" t="str">
        <f>TEXT(Table13[[#This Row],[Date of Call]],"dddd")</f>
        <v>Monday</v>
      </c>
      <c r="J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1">
        <f>ROUND(Table13[[#This Row],[Satisfaction Rating]],0)</f>
        <v>2</v>
      </c>
    </row>
    <row r="82" spans="1:11" x14ac:dyDescent="0.3">
      <c r="A82" s="23" t="s">
        <v>123</v>
      </c>
      <c r="B82" s="6" t="s">
        <v>7</v>
      </c>
      <c r="C82" s="6">
        <v>43</v>
      </c>
      <c r="D82" s="13" t="s">
        <v>30</v>
      </c>
      <c r="E82" s="14">
        <v>44956</v>
      </c>
      <c r="F82" s="6">
        <v>23</v>
      </c>
      <c r="G82" s="24">
        <v>4.9000000000000004</v>
      </c>
      <c r="H82">
        <f>IF(MONTH(Table13[[#This Row],[Date of Call]])&lt;6, YEAR(Table13[[#This Row],[Date of Call]]),YEAR(Table13[[#This Row],[Date of Call]])+1)</f>
        <v>2023</v>
      </c>
      <c r="I82" t="str">
        <f>TEXT(Table13[[#This Row],[Date of Call]],"dddd")</f>
        <v>Monday</v>
      </c>
      <c r="J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2">
        <f>ROUND(Table13[[#This Row],[Satisfaction Rating]],0)</f>
        <v>5</v>
      </c>
    </row>
    <row r="83" spans="1:11" x14ac:dyDescent="0.3">
      <c r="A83" s="23" t="s">
        <v>124</v>
      </c>
      <c r="B83" s="6" t="s">
        <v>14</v>
      </c>
      <c r="C83" s="6">
        <v>62</v>
      </c>
      <c r="D83" s="13" t="s">
        <v>32</v>
      </c>
      <c r="E83" s="14">
        <v>44957</v>
      </c>
      <c r="F83" s="6">
        <v>99</v>
      </c>
      <c r="G83" s="24">
        <v>3.6</v>
      </c>
      <c r="H83">
        <f>IF(MONTH(Table13[[#This Row],[Date of Call]])&lt;6, YEAR(Table13[[#This Row],[Date of Call]]),YEAR(Table13[[#This Row],[Date of Call]])+1)</f>
        <v>2023</v>
      </c>
      <c r="I83" t="str">
        <f>TEXT(Table13[[#This Row],[Date of Call]],"dddd")</f>
        <v>Tuesday</v>
      </c>
      <c r="J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3">
        <f>ROUND(Table13[[#This Row],[Satisfaction Rating]],0)</f>
        <v>4</v>
      </c>
    </row>
    <row r="84" spans="1:11" x14ac:dyDescent="0.3">
      <c r="A84" s="23" t="s">
        <v>125</v>
      </c>
      <c r="B84" s="6" t="s">
        <v>12</v>
      </c>
      <c r="C84" s="6">
        <v>79</v>
      </c>
      <c r="D84" s="13" t="s">
        <v>30</v>
      </c>
      <c r="E84" s="14">
        <v>44958</v>
      </c>
      <c r="F84" s="6">
        <v>148</v>
      </c>
      <c r="G84" s="24">
        <v>4.5</v>
      </c>
      <c r="H84">
        <f>IF(MONTH(Table13[[#This Row],[Date of Call]])&lt;6, YEAR(Table13[[#This Row],[Date of Call]]),YEAR(Table13[[#This Row],[Date of Call]])+1)</f>
        <v>2023</v>
      </c>
      <c r="I84" t="str">
        <f>TEXT(Table13[[#This Row],[Date of Call]],"dddd")</f>
        <v>Wednesday</v>
      </c>
      <c r="J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4">
        <f>ROUND(Table13[[#This Row],[Satisfaction Rating]],0)</f>
        <v>5</v>
      </c>
    </row>
    <row r="85" spans="1:11" x14ac:dyDescent="0.3">
      <c r="A85" s="23" t="s">
        <v>126</v>
      </c>
      <c r="B85" s="6" t="s">
        <v>13</v>
      </c>
      <c r="C85" s="6">
        <v>45</v>
      </c>
      <c r="D85" s="13" t="s">
        <v>31</v>
      </c>
      <c r="E85" s="14">
        <v>44958</v>
      </c>
      <c r="F85" s="6">
        <v>34</v>
      </c>
      <c r="G85" s="24">
        <v>3.7</v>
      </c>
      <c r="H85">
        <f>IF(MONTH(Table13[[#This Row],[Date of Call]])&lt;6, YEAR(Table13[[#This Row],[Date of Call]]),YEAR(Table13[[#This Row],[Date of Call]])+1)</f>
        <v>2023</v>
      </c>
      <c r="I85" t="str">
        <f>TEXT(Table13[[#This Row],[Date of Call]],"dddd")</f>
        <v>Wednesday</v>
      </c>
      <c r="J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5">
        <f>ROUND(Table13[[#This Row],[Satisfaction Rating]],0)</f>
        <v>4</v>
      </c>
    </row>
    <row r="86" spans="1:11" x14ac:dyDescent="0.3">
      <c r="A86" s="23" t="s">
        <v>127</v>
      </c>
      <c r="B86" s="6" t="s">
        <v>14</v>
      </c>
      <c r="C86" s="6">
        <v>137</v>
      </c>
      <c r="D86" s="13" t="s">
        <v>30</v>
      </c>
      <c r="E86" s="14">
        <v>44958</v>
      </c>
      <c r="F86" s="6">
        <v>86</v>
      </c>
      <c r="G86" s="24">
        <v>4.8</v>
      </c>
      <c r="H86">
        <f>IF(MONTH(Table13[[#This Row],[Date of Call]])&lt;6, YEAR(Table13[[#This Row],[Date of Call]]),YEAR(Table13[[#This Row],[Date of Call]])+1)</f>
        <v>2023</v>
      </c>
      <c r="I86" t="str">
        <f>TEXT(Table13[[#This Row],[Date of Call]],"dddd")</f>
        <v>Wednesday</v>
      </c>
      <c r="J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6">
        <f>ROUND(Table13[[#This Row],[Satisfaction Rating]],0)</f>
        <v>5</v>
      </c>
    </row>
    <row r="87" spans="1:11" x14ac:dyDescent="0.3">
      <c r="A87" s="23" t="s">
        <v>128</v>
      </c>
      <c r="B87" s="6" t="s">
        <v>11</v>
      </c>
      <c r="C87" s="6">
        <v>109</v>
      </c>
      <c r="D87" s="13" t="s">
        <v>32</v>
      </c>
      <c r="E87" s="14">
        <v>44958</v>
      </c>
      <c r="F87" s="6">
        <v>105</v>
      </c>
      <c r="G87" s="24">
        <v>3.3</v>
      </c>
      <c r="H87">
        <f>IF(MONTH(Table13[[#This Row],[Date of Call]])&lt;6, YEAR(Table13[[#This Row],[Date of Call]]),YEAR(Table13[[#This Row],[Date of Call]])+1)</f>
        <v>2023</v>
      </c>
      <c r="I87" t="str">
        <f>TEXT(Table13[[#This Row],[Date of Call]],"dddd")</f>
        <v>Wednesday</v>
      </c>
      <c r="J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">
        <f>ROUND(Table13[[#This Row],[Satisfaction Rating]],0)</f>
        <v>3</v>
      </c>
    </row>
    <row r="88" spans="1:11" x14ac:dyDescent="0.3">
      <c r="A88" s="23" t="s">
        <v>129</v>
      </c>
      <c r="B88" s="6" t="s">
        <v>7</v>
      </c>
      <c r="C88" s="6">
        <v>78</v>
      </c>
      <c r="D88" s="13" t="s">
        <v>32</v>
      </c>
      <c r="E88" s="14">
        <v>44958</v>
      </c>
      <c r="F88" s="6">
        <v>62</v>
      </c>
      <c r="G88" s="24">
        <v>3.1</v>
      </c>
      <c r="H88">
        <f>IF(MONTH(Table13[[#This Row],[Date of Call]])&lt;6, YEAR(Table13[[#This Row],[Date of Call]]),YEAR(Table13[[#This Row],[Date of Call]])+1)</f>
        <v>2023</v>
      </c>
      <c r="I88" t="str">
        <f>TEXT(Table13[[#This Row],[Date of Call]],"dddd")</f>
        <v>Wednesday</v>
      </c>
      <c r="J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">
        <f>ROUND(Table13[[#This Row],[Satisfaction Rating]],0)</f>
        <v>3</v>
      </c>
    </row>
    <row r="89" spans="1:11" x14ac:dyDescent="0.3">
      <c r="A89" s="23" t="s">
        <v>130</v>
      </c>
      <c r="B89" s="6" t="s">
        <v>14</v>
      </c>
      <c r="C89" s="6">
        <v>137</v>
      </c>
      <c r="D89" s="13" t="s">
        <v>31</v>
      </c>
      <c r="E89" s="14">
        <v>44958</v>
      </c>
      <c r="F89" s="6">
        <v>90</v>
      </c>
      <c r="G89" s="24">
        <v>4.0999999999999996</v>
      </c>
      <c r="H89">
        <f>IF(MONTH(Table13[[#This Row],[Date of Call]])&lt;6, YEAR(Table13[[#This Row],[Date of Call]]),YEAR(Table13[[#This Row],[Date of Call]])+1)</f>
        <v>2023</v>
      </c>
      <c r="I89" t="str">
        <f>TEXT(Table13[[#This Row],[Date of Call]],"dddd")</f>
        <v>Wednesday</v>
      </c>
      <c r="J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9">
        <f>ROUND(Table13[[#This Row],[Satisfaction Rating]],0)</f>
        <v>4</v>
      </c>
    </row>
    <row r="90" spans="1:11" x14ac:dyDescent="0.3">
      <c r="A90" s="23" t="s">
        <v>131</v>
      </c>
      <c r="B90" s="6" t="s">
        <v>17</v>
      </c>
      <c r="C90" s="6">
        <v>99</v>
      </c>
      <c r="D90" s="13" t="s">
        <v>32</v>
      </c>
      <c r="E90" s="14">
        <v>44959</v>
      </c>
      <c r="F90" s="6">
        <v>112</v>
      </c>
      <c r="G90" s="24">
        <v>4.9000000000000004</v>
      </c>
      <c r="H90">
        <f>IF(MONTH(Table13[[#This Row],[Date of Call]])&lt;6, YEAR(Table13[[#This Row],[Date of Call]]),YEAR(Table13[[#This Row],[Date of Call]])+1)</f>
        <v>2023</v>
      </c>
      <c r="I90" t="str">
        <f>TEXT(Table13[[#This Row],[Date of Call]],"dddd")</f>
        <v>Thursday</v>
      </c>
      <c r="J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0">
        <f>ROUND(Table13[[#This Row],[Satisfaction Rating]],0)</f>
        <v>5</v>
      </c>
    </row>
    <row r="91" spans="1:11" x14ac:dyDescent="0.3">
      <c r="A91" s="23" t="s">
        <v>132</v>
      </c>
      <c r="B91" s="6" t="s">
        <v>18</v>
      </c>
      <c r="C91" s="6">
        <v>100</v>
      </c>
      <c r="D91" s="13" t="s">
        <v>32</v>
      </c>
      <c r="E91" s="14">
        <v>44959</v>
      </c>
      <c r="F91" s="6">
        <v>135</v>
      </c>
      <c r="G91" s="24">
        <v>4</v>
      </c>
      <c r="H91">
        <f>IF(MONTH(Table13[[#This Row],[Date of Call]])&lt;6, YEAR(Table13[[#This Row],[Date of Call]]),YEAR(Table13[[#This Row],[Date of Call]])+1)</f>
        <v>2023</v>
      </c>
      <c r="I91" t="str">
        <f>TEXT(Table13[[#This Row],[Date of Call]],"dddd")</f>
        <v>Thursday</v>
      </c>
      <c r="J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">
        <f>ROUND(Table13[[#This Row],[Satisfaction Rating]],0)</f>
        <v>4</v>
      </c>
    </row>
    <row r="92" spans="1:11" x14ac:dyDescent="0.3">
      <c r="A92" s="23" t="s">
        <v>133</v>
      </c>
      <c r="B92" s="6" t="s">
        <v>7</v>
      </c>
      <c r="C92" s="6">
        <v>47</v>
      </c>
      <c r="D92" s="13" t="s">
        <v>29</v>
      </c>
      <c r="E92" s="14">
        <v>44959</v>
      </c>
      <c r="F92" s="6">
        <v>34</v>
      </c>
      <c r="G92" s="24">
        <v>2.1</v>
      </c>
      <c r="H92">
        <f>IF(MONTH(Table13[[#This Row],[Date of Call]])&lt;6, YEAR(Table13[[#This Row],[Date of Call]]),YEAR(Table13[[#This Row],[Date of Call]])+1)</f>
        <v>2023</v>
      </c>
      <c r="I92" t="str">
        <f>TEXT(Table13[[#This Row],[Date of Call]],"dddd")</f>
        <v>Thursday</v>
      </c>
      <c r="J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2">
        <f>ROUND(Table13[[#This Row],[Satisfaction Rating]],0)</f>
        <v>2</v>
      </c>
    </row>
    <row r="93" spans="1:11" x14ac:dyDescent="0.3">
      <c r="A93" s="23" t="s">
        <v>134</v>
      </c>
      <c r="B93" s="6" t="s">
        <v>11</v>
      </c>
      <c r="C93" s="6">
        <v>87</v>
      </c>
      <c r="D93" s="13" t="s">
        <v>28</v>
      </c>
      <c r="E93" s="14">
        <v>44959</v>
      </c>
      <c r="F93" s="6">
        <v>155</v>
      </c>
      <c r="G93" s="24">
        <v>4.5</v>
      </c>
      <c r="H93">
        <f>IF(MONTH(Table13[[#This Row],[Date of Call]])&lt;6, YEAR(Table13[[#This Row],[Date of Call]]),YEAR(Table13[[#This Row],[Date of Call]])+1)</f>
        <v>2023</v>
      </c>
      <c r="I93" t="str">
        <f>TEXT(Table13[[#This Row],[Date of Call]],"dddd")</f>
        <v>Thursday</v>
      </c>
      <c r="J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">
        <f>ROUND(Table13[[#This Row],[Satisfaction Rating]],0)</f>
        <v>5</v>
      </c>
    </row>
    <row r="94" spans="1:11" x14ac:dyDescent="0.3">
      <c r="A94" s="23" t="s">
        <v>135</v>
      </c>
      <c r="B94" s="6" t="s">
        <v>17</v>
      </c>
      <c r="C94" s="6">
        <v>143</v>
      </c>
      <c r="D94" s="13" t="s">
        <v>28</v>
      </c>
      <c r="E94" s="14">
        <v>44961</v>
      </c>
      <c r="F94" s="6">
        <v>124</v>
      </c>
      <c r="G94" s="24">
        <v>4.9000000000000004</v>
      </c>
      <c r="H94">
        <f>IF(MONTH(Table13[[#This Row],[Date of Call]])&lt;6, YEAR(Table13[[#This Row],[Date of Call]]),YEAR(Table13[[#This Row],[Date of Call]])+1)</f>
        <v>2023</v>
      </c>
      <c r="I94" t="str">
        <f>TEXT(Table13[[#This Row],[Date of Call]],"dddd")</f>
        <v>Saturday</v>
      </c>
      <c r="J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4">
        <f>ROUND(Table13[[#This Row],[Satisfaction Rating]],0)</f>
        <v>5</v>
      </c>
    </row>
    <row r="95" spans="1:11" x14ac:dyDescent="0.3">
      <c r="A95" s="23" t="s">
        <v>136</v>
      </c>
      <c r="B95" s="6" t="s">
        <v>18</v>
      </c>
      <c r="C95" s="6">
        <v>84</v>
      </c>
      <c r="D95" s="13" t="s">
        <v>32</v>
      </c>
      <c r="E95" s="14">
        <v>44961</v>
      </c>
      <c r="F95" s="6">
        <v>195</v>
      </c>
      <c r="G95" s="24">
        <v>4.0999999999999996</v>
      </c>
      <c r="H95">
        <f>IF(MONTH(Table13[[#This Row],[Date of Call]])&lt;6, YEAR(Table13[[#This Row],[Date of Call]]),YEAR(Table13[[#This Row],[Date of Call]])+1)</f>
        <v>2023</v>
      </c>
      <c r="I95" t="str">
        <f>TEXT(Table13[[#This Row],[Date of Call]],"dddd")</f>
        <v>Saturday</v>
      </c>
      <c r="J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5">
        <f>ROUND(Table13[[#This Row],[Satisfaction Rating]],0)</f>
        <v>4</v>
      </c>
    </row>
    <row r="96" spans="1:11" x14ac:dyDescent="0.3">
      <c r="A96" s="23" t="s">
        <v>137</v>
      </c>
      <c r="B96" s="6" t="s">
        <v>4</v>
      </c>
      <c r="C96" s="6">
        <v>55</v>
      </c>
      <c r="D96" s="13" t="s">
        <v>28</v>
      </c>
      <c r="E96" s="14">
        <v>44962</v>
      </c>
      <c r="F96" s="6">
        <v>78</v>
      </c>
      <c r="G96" s="24">
        <v>4.5</v>
      </c>
      <c r="H96">
        <f>IF(MONTH(Table13[[#This Row],[Date of Call]])&lt;6, YEAR(Table13[[#This Row],[Date of Call]]),YEAR(Table13[[#This Row],[Date of Call]])+1)</f>
        <v>2023</v>
      </c>
      <c r="I96" t="str">
        <f>TEXT(Table13[[#This Row],[Date of Call]],"dddd")</f>
        <v>Sunday</v>
      </c>
      <c r="J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6">
        <f>ROUND(Table13[[#This Row],[Satisfaction Rating]],0)</f>
        <v>5</v>
      </c>
    </row>
    <row r="97" spans="1:11" x14ac:dyDescent="0.3">
      <c r="A97" s="23" t="s">
        <v>138</v>
      </c>
      <c r="B97" s="6" t="s">
        <v>10</v>
      </c>
      <c r="C97" s="6">
        <v>135</v>
      </c>
      <c r="D97" s="13" t="s">
        <v>31</v>
      </c>
      <c r="E97" s="14">
        <v>44964</v>
      </c>
      <c r="F97" s="6">
        <v>35</v>
      </c>
      <c r="G97" s="24">
        <v>4.8</v>
      </c>
      <c r="H97">
        <f>IF(MONTH(Table13[[#This Row],[Date of Call]])&lt;6, YEAR(Table13[[#This Row],[Date of Call]]),YEAR(Table13[[#This Row],[Date of Call]])+1)</f>
        <v>2023</v>
      </c>
      <c r="I97" t="str">
        <f>TEXT(Table13[[#This Row],[Date of Call]],"dddd")</f>
        <v>Tuesday</v>
      </c>
      <c r="J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">
        <f>ROUND(Table13[[#This Row],[Satisfaction Rating]],0)</f>
        <v>5</v>
      </c>
    </row>
    <row r="98" spans="1:11" x14ac:dyDescent="0.3">
      <c r="A98" s="23" t="s">
        <v>139</v>
      </c>
      <c r="B98" s="6" t="s">
        <v>15</v>
      </c>
      <c r="C98" s="6">
        <v>152</v>
      </c>
      <c r="D98" s="13" t="s">
        <v>29</v>
      </c>
      <c r="E98" s="14">
        <v>44964</v>
      </c>
      <c r="F98" s="6">
        <v>123</v>
      </c>
      <c r="G98" s="24">
        <v>4.5999999999999996</v>
      </c>
      <c r="H98">
        <f>IF(MONTH(Table13[[#This Row],[Date of Call]])&lt;6, YEAR(Table13[[#This Row],[Date of Call]]),YEAR(Table13[[#This Row],[Date of Call]])+1)</f>
        <v>2023</v>
      </c>
      <c r="I98" t="str">
        <f>TEXT(Table13[[#This Row],[Date of Call]],"dddd")</f>
        <v>Tuesday</v>
      </c>
      <c r="J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8">
        <f>ROUND(Table13[[#This Row],[Satisfaction Rating]],0)</f>
        <v>5</v>
      </c>
    </row>
    <row r="99" spans="1:11" x14ac:dyDescent="0.3">
      <c r="A99" s="23" t="s">
        <v>140</v>
      </c>
      <c r="B99" s="6" t="s">
        <v>8</v>
      </c>
      <c r="C99" s="6">
        <v>132</v>
      </c>
      <c r="D99" s="13" t="s">
        <v>29</v>
      </c>
      <c r="E99" s="14">
        <v>44964</v>
      </c>
      <c r="F99" s="6">
        <v>43</v>
      </c>
      <c r="G99" s="24">
        <v>4.5999999999999996</v>
      </c>
      <c r="H99">
        <f>IF(MONTH(Table13[[#This Row],[Date of Call]])&lt;6, YEAR(Table13[[#This Row],[Date of Call]]),YEAR(Table13[[#This Row],[Date of Call]])+1)</f>
        <v>2023</v>
      </c>
      <c r="I99" t="str">
        <f>TEXT(Table13[[#This Row],[Date of Call]],"dddd")</f>
        <v>Tuesday</v>
      </c>
      <c r="J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9">
        <f>ROUND(Table13[[#This Row],[Satisfaction Rating]],0)</f>
        <v>5</v>
      </c>
    </row>
    <row r="100" spans="1:11" x14ac:dyDescent="0.3">
      <c r="A100" s="23" t="s">
        <v>141</v>
      </c>
      <c r="B100" s="6" t="s">
        <v>9</v>
      </c>
      <c r="C100" s="6">
        <v>60</v>
      </c>
      <c r="D100" s="13" t="s">
        <v>32</v>
      </c>
      <c r="E100" s="14">
        <v>44965</v>
      </c>
      <c r="F100" s="6">
        <v>69</v>
      </c>
      <c r="G100" s="24">
        <v>4.3</v>
      </c>
      <c r="H100">
        <f>IF(MONTH(Table13[[#This Row],[Date of Call]])&lt;6, YEAR(Table13[[#This Row],[Date of Call]]),YEAR(Table13[[#This Row],[Date of Call]])+1)</f>
        <v>2023</v>
      </c>
      <c r="I100" t="str">
        <f>TEXT(Table13[[#This Row],[Date of Call]],"dddd")</f>
        <v>Wednesday</v>
      </c>
      <c r="J1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0">
        <f>ROUND(Table13[[#This Row],[Satisfaction Rating]],0)</f>
        <v>4</v>
      </c>
    </row>
    <row r="101" spans="1:11" x14ac:dyDescent="0.3">
      <c r="A101" s="23" t="s">
        <v>142</v>
      </c>
      <c r="B101" s="6" t="s">
        <v>15</v>
      </c>
      <c r="C101" s="6">
        <v>95</v>
      </c>
      <c r="D101" s="13" t="s">
        <v>29</v>
      </c>
      <c r="E101" s="14">
        <v>44965</v>
      </c>
      <c r="F101" s="6">
        <v>130</v>
      </c>
      <c r="G101" s="24">
        <v>5</v>
      </c>
      <c r="H101">
        <f>IF(MONTH(Table13[[#This Row],[Date of Call]])&lt;6, YEAR(Table13[[#This Row],[Date of Call]]),YEAR(Table13[[#This Row],[Date of Call]])+1)</f>
        <v>2023</v>
      </c>
      <c r="I101" t="str">
        <f>TEXT(Table13[[#This Row],[Date of Call]],"dddd")</f>
        <v>Wednesday</v>
      </c>
      <c r="J1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1">
        <f>ROUND(Table13[[#This Row],[Satisfaction Rating]],0)</f>
        <v>5</v>
      </c>
    </row>
    <row r="102" spans="1:11" x14ac:dyDescent="0.3">
      <c r="A102" s="23" t="s">
        <v>143</v>
      </c>
      <c r="B102" s="6" t="s">
        <v>6</v>
      </c>
      <c r="C102" s="6">
        <v>96</v>
      </c>
      <c r="D102" s="13" t="s">
        <v>30</v>
      </c>
      <c r="E102" s="14">
        <v>44965</v>
      </c>
      <c r="F102" s="6">
        <v>120</v>
      </c>
      <c r="G102" s="24">
        <v>4</v>
      </c>
      <c r="H102">
        <f>IF(MONTH(Table13[[#This Row],[Date of Call]])&lt;6, YEAR(Table13[[#This Row],[Date of Call]]),YEAR(Table13[[#This Row],[Date of Call]])+1)</f>
        <v>2023</v>
      </c>
      <c r="I102" t="str">
        <f>TEXT(Table13[[#This Row],[Date of Call]],"dddd")</f>
        <v>Wednesday</v>
      </c>
      <c r="J1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2">
        <f>ROUND(Table13[[#This Row],[Satisfaction Rating]],0)</f>
        <v>4</v>
      </c>
    </row>
    <row r="103" spans="1:11" x14ac:dyDescent="0.3">
      <c r="A103" s="23" t="s">
        <v>144</v>
      </c>
      <c r="B103" s="6" t="s">
        <v>4</v>
      </c>
      <c r="C103" s="6">
        <v>45</v>
      </c>
      <c r="D103" s="13" t="s">
        <v>32</v>
      </c>
      <c r="E103" s="14">
        <v>44966</v>
      </c>
      <c r="F103" s="6">
        <v>84</v>
      </c>
      <c r="G103" s="24">
        <v>4.5999999999999996</v>
      </c>
      <c r="H103">
        <f>IF(MONTH(Table13[[#This Row],[Date of Call]])&lt;6, YEAR(Table13[[#This Row],[Date of Call]]),YEAR(Table13[[#This Row],[Date of Call]])+1)</f>
        <v>2023</v>
      </c>
      <c r="I103" t="str">
        <f>TEXT(Table13[[#This Row],[Date of Call]],"dddd")</f>
        <v>Thursday</v>
      </c>
      <c r="J1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03">
        <f>ROUND(Table13[[#This Row],[Satisfaction Rating]],0)</f>
        <v>5</v>
      </c>
    </row>
    <row r="104" spans="1:11" x14ac:dyDescent="0.3">
      <c r="A104" s="23" t="s">
        <v>145</v>
      </c>
      <c r="B104" s="6" t="s">
        <v>6</v>
      </c>
      <c r="C104" s="6">
        <v>132</v>
      </c>
      <c r="D104" s="13" t="s">
        <v>30</v>
      </c>
      <c r="E104" s="14">
        <v>44967</v>
      </c>
      <c r="F104" s="6">
        <v>112</v>
      </c>
      <c r="G104" s="24">
        <v>4.5</v>
      </c>
      <c r="H104">
        <f>IF(MONTH(Table13[[#This Row],[Date of Call]])&lt;6, YEAR(Table13[[#This Row],[Date of Call]]),YEAR(Table13[[#This Row],[Date of Call]])+1)</f>
        <v>2023</v>
      </c>
      <c r="I104" t="str">
        <f>TEXT(Table13[[#This Row],[Date of Call]],"dddd")</f>
        <v>Friday</v>
      </c>
      <c r="J1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04">
        <f>ROUND(Table13[[#This Row],[Satisfaction Rating]],0)</f>
        <v>5</v>
      </c>
    </row>
    <row r="105" spans="1:11" x14ac:dyDescent="0.3">
      <c r="A105" s="23" t="s">
        <v>146</v>
      </c>
      <c r="B105" s="6" t="s">
        <v>16</v>
      </c>
      <c r="C105" s="6">
        <v>95</v>
      </c>
      <c r="D105" s="13" t="s">
        <v>32</v>
      </c>
      <c r="E105" s="14">
        <v>44967</v>
      </c>
      <c r="F105" s="6">
        <v>66</v>
      </c>
      <c r="G105" s="24">
        <v>4.5999999999999996</v>
      </c>
      <c r="H105">
        <f>IF(MONTH(Table13[[#This Row],[Date of Call]])&lt;6, YEAR(Table13[[#This Row],[Date of Call]]),YEAR(Table13[[#This Row],[Date of Call]])+1)</f>
        <v>2023</v>
      </c>
      <c r="I105" t="str">
        <f>TEXT(Table13[[#This Row],[Date of Call]],"dddd")</f>
        <v>Friday</v>
      </c>
      <c r="J1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5">
        <f>ROUND(Table13[[#This Row],[Satisfaction Rating]],0)</f>
        <v>5</v>
      </c>
    </row>
    <row r="106" spans="1:11" x14ac:dyDescent="0.3">
      <c r="A106" s="23" t="s">
        <v>147</v>
      </c>
      <c r="B106" s="6" t="s">
        <v>15</v>
      </c>
      <c r="C106" s="6">
        <v>131</v>
      </c>
      <c r="D106" s="13" t="s">
        <v>28</v>
      </c>
      <c r="E106" s="14">
        <v>44967</v>
      </c>
      <c r="F106" s="6">
        <v>172</v>
      </c>
      <c r="G106" s="24">
        <v>2.6</v>
      </c>
      <c r="H106">
        <f>IF(MONTH(Table13[[#This Row],[Date of Call]])&lt;6, YEAR(Table13[[#This Row],[Date of Call]]),YEAR(Table13[[#This Row],[Date of Call]])+1)</f>
        <v>2023</v>
      </c>
      <c r="I106" t="str">
        <f>TEXT(Table13[[#This Row],[Date of Call]],"dddd")</f>
        <v>Friday</v>
      </c>
      <c r="J1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06">
        <f>ROUND(Table13[[#This Row],[Satisfaction Rating]],0)</f>
        <v>3</v>
      </c>
    </row>
    <row r="107" spans="1:11" x14ac:dyDescent="0.3">
      <c r="A107" s="23" t="s">
        <v>148</v>
      </c>
      <c r="B107" s="6" t="s">
        <v>12</v>
      </c>
      <c r="C107" s="6">
        <v>67</v>
      </c>
      <c r="D107" s="13" t="s">
        <v>31</v>
      </c>
      <c r="E107" s="14">
        <v>44968</v>
      </c>
      <c r="F107" s="6">
        <v>24</v>
      </c>
      <c r="G107" s="24">
        <v>4.3</v>
      </c>
      <c r="H107">
        <f>IF(MONTH(Table13[[#This Row],[Date of Call]])&lt;6, YEAR(Table13[[#This Row],[Date of Call]]),YEAR(Table13[[#This Row],[Date of Call]])+1)</f>
        <v>2023</v>
      </c>
      <c r="I107" t="str">
        <f>TEXT(Table13[[#This Row],[Date of Call]],"dddd")</f>
        <v>Saturday</v>
      </c>
      <c r="J1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7">
        <f>ROUND(Table13[[#This Row],[Satisfaction Rating]],0)</f>
        <v>4</v>
      </c>
    </row>
    <row r="108" spans="1:11" x14ac:dyDescent="0.3">
      <c r="A108" s="23" t="s">
        <v>149</v>
      </c>
      <c r="B108" s="6" t="s">
        <v>17</v>
      </c>
      <c r="C108" s="6">
        <v>111</v>
      </c>
      <c r="D108" s="13" t="s">
        <v>28</v>
      </c>
      <c r="E108" s="14">
        <v>44969</v>
      </c>
      <c r="F108" s="6">
        <v>43</v>
      </c>
      <c r="G108" s="24">
        <v>3.9</v>
      </c>
      <c r="H108">
        <f>IF(MONTH(Table13[[#This Row],[Date of Call]])&lt;6, YEAR(Table13[[#This Row],[Date of Call]]),YEAR(Table13[[#This Row],[Date of Call]])+1)</f>
        <v>2023</v>
      </c>
      <c r="I108" t="str">
        <f>TEXT(Table13[[#This Row],[Date of Call]],"dddd")</f>
        <v>Sunday</v>
      </c>
      <c r="J1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8">
        <f>ROUND(Table13[[#This Row],[Satisfaction Rating]],0)</f>
        <v>4</v>
      </c>
    </row>
    <row r="109" spans="1:11" x14ac:dyDescent="0.3">
      <c r="A109" s="23" t="s">
        <v>150</v>
      </c>
      <c r="B109" s="6" t="s">
        <v>8</v>
      </c>
      <c r="C109" s="6">
        <v>78</v>
      </c>
      <c r="D109" s="13" t="s">
        <v>29</v>
      </c>
      <c r="E109" s="14">
        <v>44969</v>
      </c>
      <c r="F109" s="6">
        <v>23</v>
      </c>
      <c r="G109" s="24">
        <v>5</v>
      </c>
      <c r="H109">
        <f>IF(MONTH(Table13[[#This Row],[Date of Call]])&lt;6, YEAR(Table13[[#This Row],[Date of Call]]),YEAR(Table13[[#This Row],[Date of Call]])+1)</f>
        <v>2023</v>
      </c>
      <c r="I109" t="str">
        <f>TEXT(Table13[[#This Row],[Date of Call]],"dddd")</f>
        <v>Sunday</v>
      </c>
      <c r="J1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9">
        <f>ROUND(Table13[[#This Row],[Satisfaction Rating]],0)</f>
        <v>5</v>
      </c>
    </row>
    <row r="110" spans="1:11" x14ac:dyDescent="0.3">
      <c r="A110" s="23" t="s">
        <v>151</v>
      </c>
      <c r="B110" s="6" t="s">
        <v>5</v>
      </c>
      <c r="C110" s="6">
        <v>28</v>
      </c>
      <c r="D110" s="13" t="s">
        <v>30</v>
      </c>
      <c r="E110" s="14">
        <v>44969</v>
      </c>
      <c r="F110" s="6">
        <v>74</v>
      </c>
      <c r="G110" s="24">
        <v>3.5</v>
      </c>
      <c r="H110">
        <f>IF(MONTH(Table13[[#This Row],[Date of Call]])&lt;6, YEAR(Table13[[#This Row],[Date of Call]]),YEAR(Table13[[#This Row],[Date of Call]])+1)</f>
        <v>2023</v>
      </c>
      <c r="I110" t="str">
        <f>TEXT(Table13[[#This Row],[Date of Call]],"dddd")</f>
        <v>Sunday</v>
      </c>
      <c r="J1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10">
        <f>ROUND(Table13[[#This Row],[Satisfaction Rating]],0)</f>
        <v>4</v>
      </c>
    </row>
    <row r="111" spans="1:11" x14ac:dyDescent="0.3">
      <c r="A111" s="23" t="s">
        <v>152</v>
      </c>
      <c r="B111" s="6" t="s">
        <v>7</v>
      </c>
      <c r="C111" s="6">
        <v>127</v>
      </c>
      <c r="D111" s="13" t="s">
        <v>31</v>
      </c>
      <c r="E111" s="14">
        <v>44970</v>
      </c>
      <c r="F111" s="6">
        <v>165</v>
      </c>
      <c r="G111" s="24">
        <v>4.7</v>
      </c>
      <c r="H111">
        <f>IF(MONTH(Table13[[#This Row],[Date of Call]])&lt;6, YEAR(Table13[[#This Row],[Date of Call]]),YEAR(Table13[[#This Row],[Date of Call]])+1)</f>
        <v>2023</v>
      </c>
      <c r="I111" t="str">
        <f>TEXT(Table13[[#This Row],[Date of Call]],"dddd")</f>
        <v>Monday</v>
      </c>
      <c r="J1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11">
        <f>ROUND(Table13[[#This Row],[Satisfaction Rating]],0)</f>
        <v>5</v>
      </c>
    </row>
    <row r="112" spans="1:11" x14ac:dyDescent="0.3">
      <c r="A112" s="23" t="s">
        <v>153</v>
      </c>
      <c r="B112" s="6" t="s">
        <v>18</v>
      </c>
      <c r="C112" s="6">
        <v>137</v>
      </c>
      <c r="D112" s="13" t="s">
        <v>28</v>
      </c>
      <c r="E112" s="14">
        <v>44970</v>
      </c>
      <c r="F112" s="6">
        <v>34</v>
      </c>
      <c r="G112" s="24">
        <v>2.9</v>
      </c>
      <c r="H112">
        <f>IF(MONTH(Table13[[#This Row],[Date of Call]])&lt;6, YEAR(Table13[[#This Row],[Date of Call]]),YEAR(Table13[[#This Row],[Date of Call]])+1)</f>
        <v>2023</v>
      </c>
      <c r="I112" t="str">
        <f>TEXT(Table13[[#This Row],[Date of Call]],"dddd")</f>
        <v>Monday</v>
      </c>
      <c r="J1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12">
        <f>ROUND(Table13[[#This Row],[Satisfaction Rating]],0)</f>
        <v>3</v>
      </c>
    </row>
    <row r="113" spans="1:11" x14ac:dyDescent="0.3">
      <c r="A113" s="23" t="s">
        <v>154</v>
      </c>
      <c r="B113" s="6" t="s">
        <v>7</v>
      </c>
      <c r="C113" s="6">
        <v>76</v>
      </c>
      <c r="D113" s="13" t="s">
        <v>30</v>
      </c>
      <c r="E113" s="14">
        <v>44970</v>
      </c>
      <c r="F113" s="6">
        <v>64</v>
      </c>
      <c r="G113" s="24">
        <v>3.4</v>
      </c>
      <c r="H113">
        <f>IF(MONTH(Table13[[#This Row],[Date of Call]])&lt;6, YEAR(Table13[[#This Row],[Date of Call]]),YEAR(Table13[[#This Row],[Date of Call]])+1)</f>
        <v>2023</v>
      </c>
      <c r="I113" t="str">
        <f>TEXT(Table13[[#This Row],[Date of Call]],"dddd")</f>
        <v>Monday</v>
      </c>
      <c r="J1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13">
        <f>ROUND(Table13[[#This Row],[Satisfaction Rating]],0)</f>
        <v>3</v>
      </c>
    </row>
    <row r="114" spans="1:11" x14ac:dyDescent="0.3">
      <c r="A114" s="23" t="s">
        <v>155</v>
      </c>
      <c r="B114" s="6" t="s">
        <v>8</v>
      </c>
      <c r="C114" s="6">
        <v>80</v>
      </c>
      <c r="D114" s="13" t="s">
        <v>31</v>
      </c>
      <c r="E114" s="14">
        <v>44971</v>
      </c>
      <c r="F114" s="6">
        <v>155</v>
      </c>
      <c r="G114" s="24">
        <v>3.2</v>
      </c>
      <c r="H114">
        <f>IF(MONTH(Table13[[#This Row],[Date of Call]])&lt;6, YEAR(Table13[[#This Row],[Date of Call]]),YEAR(Table13[[#This Row],[Date of Call]])+1)</f>
        <v>2023</v>
      </c>
      <c r="I114" t="str">
        <f>TEXT(Table13[[#This Row],[Date of Call]],"dddd")</f>
        <v>Tuesday</v>
      </c>
      <c r="J1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14">
        <f>ROUND(Table13[[#This Row],[Satisfaction Rating]],0)</f>
        <v>3</v>
      </c>
    </row>
    <row r="115" spans="1:11" x14ac:dyDescent="0.3">
      <c r="A115" s="23" t="s">
        <v>156</v>
      </c>
      <c r="B115" s="6" t="s">
        <v>7</v>
      </c>
      <c r="C115" s="6">
        <v>95</v>
      </c>
      <c r="D115" s="13" t="s">
        <v>29</v>
      </c>
      <c r="E115" s="14">
        <v>44972</v>
      </c>
      <c r="F115" s="6">
        <v>120</v>
      </c>
      <c r="G115" s="24">
        <v>4.8</v>
      </c>
      <c r="H115">
        <f>IF(MONTH(Table13[[#This Row],[Date of Call]])&lt;6, YEAR(Table13[[#This Row],[Date of Call]]),YEAR(Table13[[#This Row],[Date of Call]])+1)</f>
        <v>2023</v>
      </c>
      <c r="I115" t="str">
        <f>TEXT(Table13[[#This Row],[Date of Call]],"dddd")</f>
        <v>Wednesday</v>
      </c>
      <c r="J1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15">
        <f>ROUND(Table13[[#This Row],[Satisfaction Rating]],0)</f>
        <v>5</v>
      </c>
    </row>
    <row r="116" spans="1:11" x14ac:dyDescent="0.3">
      <c r="A116" s="23" t="s">
        <v>157</v>
      </c>
      <c r="B116" s="6" t="s">
        <v>9</v>
      </c>
      <c r="C116" s="6">
        <v>30</v>
      </c>
      <c r="D116" s="13" t="s">
        <v>30</v>
      </c>
      <c r="E116" s="14">
        <v>44972</v>
      </c>
      <c r="F116" s="6">
        <v>105</v>
      </c>
      <c r="G116" s="24">
        <v>3.6</v>
      </c>
      <c r="H116">
        <f>IF(MONTH(Table13[[#This Row],[Date of Call]])&lt;6, YEAR(Table13[[#This Row],[Date of Call]]),YEAR(Table13[[#This Row],[Date of Call]])+1)</f>
        <v>2023</v>
      </c>
      <c r="I116" t="str">
        <f>TEXT(Table13[[#This Row],[Date of Call]],"dddd")</f>
        <v>Wednesday</v>
      </c>
      <c r="J1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16">
        <f>ROUND(Table13[[#This Row],[Satisfaction Rating]],0)</f>
        <v>4</v>
      </c>
    </row>
    <row r="117" spans="1:11" x14ac:dyDescent="0.3">
      <c r="A117" s="23" t="s">
        <v>158</v>
      </c>
      <c r="B117" s="6" t="s">
        <v>14</v>
      </c>
      <c r="C117" s="6">
        <v>19</v>
      </c>
      <c r="D117" s="13" t="s">
        <v>28</v>
      </c>
      <c r="E117" s="14">
        <v>44972</v>
      </c>
      <c r="F117" s="6">
        <v>28</v>
      </c>
      <c r="G117" s="24">
        <v>4.9000000000000004</v>
      </c>
      <c r="H117">
        <f>IF(MONTH(Table13[[#This Row],[Date of Call]])&lt;6, YEAR(Table13[[#This Row],[Date of Call]]),YEAR(Table13[[#This Row],[Date of Call]])+1)</f>
        <v>2023</v>
      </c>
      <c r="I117" t="str">
        <f>TEXT(Table13[[#This Row],[Date of Call]],"dddd")</f>
        <v>Wednesday</v>
      </c>
      <c r="J1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17">
        <f>ROUND(Table13[[#This Row],[Satisfaction Rating]],0)</f>
        <v>5</v>
      </c>
    </row>
    <row r="118" spans="1:11" x14ac:dyDescent="0.3">
      <c r="A118" s="23" t="s">
        <v>159</v>
      </c>
      <c r="B118" s="6" t="s">
        <v>13</v>
      </c>
      <c r="C118" s="6">
        <v>38</v>
      </c>
      <c r="D118" s="13" t="s">
        <v>31</v>
      </c>
      <c r="E118" s="14">
        <v>44972</v>
      </c>
      <c r="F118" s="6">
        <v>100</v>
      </c>
      <c r="G118" s="24">
        <v>4.8</v>
      </c>
      <c r="H118">
        <f>IF(MONTH(Table13[[#This Row],[Date of Call]])&lt;6, YEAR(Table13[[#This Row],[Date of Call]]),YEAR(Table13[[#This Row],[Date of Call]])+1)</f>
        <v>2023</v>
      </c>
      <c r="I118" t="str">
        <f>TEXT(Table13[[#This Row],[Date of Call]],"dddd")</f>
        <v>Wednesday</v>
      </c>
      <c r="J1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18">
        <f>ROUND(Table13[[#This Row],[Satisfaction Rating]],0)</f>
        <v>5</v>
      </c>
    </row>
    <row r="119" spans="1:11" x14ac:dyDescent="0.3">
      <c r="A119" s="23" t="s">
        <v>160</v>
      </c>
      <c r="B119" s="6" t="s">
        <v>16</v>
      </c>
      <c r="C119" s="6">
        <v>55</v>
      </c>
      <c r="D119" s="13" t="s">
        <v>28</v>
      </c>
      <c r="E119" s="14">
        <v>44972</v>
      </c>
      <c r="F119" s="6">
        <v>23</v>
      </c>
      <c r="G119" s="24">
        <v>3.6</v>
      </c>
      <c r="H119">
        <f>IF(MONTH(Table13[[#This Row],[Date of Call]])&lt;6, YEAR(Table13[[#This Row],[Date of Call]]),YEAR(Table13[[#This Row],[Date of Call]])+1)</f>
        <v>2023</v>
      </c>
      <c r="I119" t="str">
        <f>TEXT(Table13[[#This Row],[Date of Call]],"dddd")</f>
        <v>Wednesday</v>
      </c>
      <c r="J1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19">
        <f>ROUND(Table13[[#This Row],[Satisfaction Rating]],0)</f>
        <v>4</v>
      </c>
    </row>
    <row r="120" spans="1:11" x14ac:dyDescent="0.3">
      <c r="A120" s="23" t="s">
        <v>161</v>
      </c>
      <c r="B120" s="6" t="s">
        <v>12</v>
      </c>
      <c r="C120" s="6">
        <v>27</v>
      </c>
      <c r="D120" s="13" t="s">
        <v>30</v>
      </c>
      <c r="E120" s="14">
        <v>44973</v>
      </c>
      <c r="F120" s="6">
        <v>70</v>
      </c>
      <c r="G120" s="24">
        <v>3.9</v>
      </c>
      <c r="H120">
        <f>IF(MONTH(Table13[[#This Row],[Date of Call]])&lt;6, YEAR(Table13[[#This Row],[Date of Call]]),YEAR(Table13[[#This Row],[Date of Call]])+1)</f>
        <v>2023</v>
      </c>
      <c r="I120" t="str">
        <f>TEXT(Table13[[#This Row],[Date of Call]],"dddd")</f>
        <v>Thursday</v>
      </c>
      <c r="J1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20">
        <f>ROUND(Table13[[#This Row],[Satisfaction Rating]],0)</f>
        <v>4</v>
      </c>
    </row>
    <row r="121" spans="1:11" x14ac:dyDescent="0.3">
      <c r="A121" s="23" t="s">
        <v>162</v>
      </c>
      <c r="B121" s="6" t="s">
        <v>12</v>
      </c>
      <c r="C121" s="6">
        <v>32</v>
      </c>
      <c r="D121" s="13" t="s">
        <v>30</v>
      </c>
      <c r="E121" s="14">
        <v>44973</v>
      </c>
      <c r="F121" s="6">
        <v>37</v>
      </c>
      <c r="G121" s="24">
        <v>1.9</v>
      </c>
      <c r="H121">
        <f>IF(MONTH(Table13[[#This Row],[Date of Call]])&lt;6, YEAR(Table13[[#This Row],[Date of Call]]),YEAR(Table13[[#This Row],[Date of Call]])+1)</f>
        <v>2023</v>
      </c>
      <c r="I121" t="str">
        <f>TEXT(Table13[[#This Row],[Date of Call]],"dddd")</f>
        <v>Thursday</v>
      </c>
      <c r="J1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21">
        <f>ROUND(Table13[[#This Row],[Satisfaction Rating]],0)</f>
        <v>2</v>
      </c>
    </row>
    <row r="122" spans="1:11" x14ac:dyDescent="0.3">
      <c r="A122" s="23" t="s">
        <v>163</v>
      </c>
      <c r="B122" s="6" t="s">
        <v>5</v>
      </c>
      <c r="C122" s="6">
        <v>116</v>
      </c>
      <c r="D122" s="13" t="s">
        <v>32</v>
      </c>
      <c r="E122" s="14">
        <v>44973</v>
      </c>
      <c r="F122" s="6">
        <v>140</v>
      </c>
      <c r="G122" s="24">
        <v>3.6</v>
      </c>
      <c r="H122">
        <f>IF(MONTH(Table13[[#This Row],[Date of Call]])&lt;6, YEAR(Table13[[#This Row],[Date of Call]]),YEAR(Table13[[#This Row],[Date of Call]])+1)</f>
        <v>2023</v>
      </c>
      <c r="I122" t="str">
        <f>TEXT(Table13[[#This Row],[Date of Call]],"dddd")</f>
        <v>Thursday</v>
      </c>
      <c r="J1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2">
        <f>ROUND(Table13[[#This Row],[Satisfaction Rating]],0)</f>
        <v>4</v>
      </c>
    </row>
    <row r="123" spans="1:11" x14ac:dyDescent="0.3">
      <c r="A123" s="23" t="s">
        <v>164</v>
      </c>
      <c r="B123" s="6" t="s">
        <v>6</v>
      </c>
      <c r="C123" s="6">
        <v>99</v>
      </c>
      <c r="D123" s="13" t="s">
        <v>29</v>
      </c>
      <c r="E123" s="14">
        <v>44973</v>
      </c>
      <c r="F123" s="6">
        <v>78</v>
      </c>
      <c r="G123" s="24">
        <v>4.0999999999999996</v>
      </c>
      <c r="H123">
        <f>IF(MONTH(Table13[[#This Row],[Date of Call]])&lt;6, YEAR(Table13[[#This Row],[Date of Call]]),YEAR(Table13[[#This Row],[Date of Call]])+1)</f>
        <v>2023</v>
      </c>
      <c r="I123" t="str">
        <f>TEXT(Table13[[#This Row],[Date of Call]],"dddd")</f>
        <v>Thursday</v>
      </c>
      <c r="J1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3">
        <f>ROUND(Table13[[#This Row],[Satisfaction Rating]],0)</f>
        <v>4</v>
      </c>
    </row>
    <row r="124" spans="1:11" x14ac:dyDescent="0.3">
      <c r="A124" s="23" t="s">
        <v>165</v>
      </c>
      <c r="B124" s="6" t="s">
        <v>7</v>
      </c>
      <c r="C124" s="6">
        <v>75</v>
      </c>
      <c r="D124" s="13" t="s">
        <v>30</v>
      </c>
      <c r="E124" s="14">
        <v>44974</v>
      </c>
      <c r="F124" s="6">
        <v>21</v>
      </c>
      <c r="G124" s="24">
        <v>4.2</v>
      </c>
      <c r="H124">
        <f>IF(MONTH(Table13[[#This Row],[Date of Call]])&lt;6, YEAR(Table13[[#This Row],[Date of Call]]),YEAR(Table13[[#This Row],[Date of Call]])+1)</f>
        <v>2023</v>
      </c>
      <c r="I124" t="str">
        <f>TEXT(Table13[[#This Row],[Date of Call]],"dddd")</f>
        <v>Friday</v>
      </c>
      <c r="J1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4">
        <f>ROUND(Table13[[#This Row],[Satisfaction Rating]],0)</f>
        <v>4</v>
      </c>
    </row>
    <row r="125" spans="1:11" x14ac:dyDescent="0.3">
      <c r="A125" s="23" t="s">
        <v>166</v>
      </c>
      <c r="B125" s="6" t="s">
        <v>8</v>
      </c>
      <c r="C125" s="6">
        <v>57</v>
      </c>
      <c r="D125" s="13" t="s">
        <v>32</v>
      </c>
      <c r="E125" s="14">
        <v>44974</v>
      </c>
      <c r="F125" s="6">
        <v>88</v>
      </c>
      <c r="G125" s="24">
        <v>4.3</v>
      </c>
      <c r="H125">
        <f>IF(MONTH(Table13[[#This Row],[Date of Call]])&lt;6, YEAR(Table13[[#This Row],[Date of Call]]),YEAR(Table13[[#This Row],[Date of Call]])+1)</f>
        <v>2023</v>
      </c>
      <c r="I125" t="str">
        <f>TEXT(Table13[[#This Row],[Date of Call]],"dddd")</f>
        <v>Friday</v>
      </c>
      <c r="J1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25">
        <f>ROUND(Table13[[#This Row],[Satisfaction Rating]],0)</f>
        <v>4</v>
      </c>
    </row>
    <row r="126" spans="1:11" x14ac:dyDescent="0.3">
      <c r="A126" s="23" t="s">
        <v>167</v>
      </c>
      <c r="B126" s="6" t="s">
        <v>10</v>
      </c>
      <c r="C126" s="6">
        <v>155</v>
      </c>
      <c r="D126" s="13" t="s">
        <v>32</v>
      </c>
      <c r="E126" s="14">
        <v>44975</v>
      </c>
      <c r="F126" s="6">
        <v>180</v>
      </c>
      <c r="G126" s="24">
        <v>2.2000000000000002</v>
      </c>
      <c r="H126">
        <f>IF(MONTH(Table13[[#This Row],[Date of Call]])&lt;6, YEAR(Table13[[#This Row],[Date of Call]]),YEAR(Table13[[#This Row],[Date of Call]])+1)</f>
        <v>2023</v>
      </c>
      <c r="I126" t="str">
        <f>TEXT(Table13[[#This Row],[Date of Call]],"dddd")</f>
        <v>Saturday</v>
      </c>
      <c r="J1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26">
        <f>ROUND(Table13[[#This Row],[Satisfaction Rating]],0)</f>
        <v>2</v>
      </c>
    </row>
    <row r="127" spans="1:11" x14ac:dyDescent="0.3">
      <c r="A127" s="23" t="s">
        <v>168</v>
      </c>
      <c r="B127" s="6" t="s">
        <v>6</v>
      </c>
      <c r="C127" s="6">
        <v>68</v>
      </c>
      <c r="D127" s="13" t="s">
        <v>29</v>
      </c>
      <c r="E127" s="14">
        <v>44975</v>
      </c>
      <c r="F127" s="6">
        <v>22</v>
      </c>
      <c r="G127" s="24">
        <v>3.3</v>
      </c>
      <c r="H127">
        <f>IF(MONTH(Table13[[#This Row],[Date of Call]])&lt;6, YEAR(Table13[[#This Row],[Date of Call]]),YEAR(Table13[[#This Row],[Date of Call]])+1)</f>
        <v>2023</v>
      </c>
      <c r="I127" t="str">
        <f>TEXT(Table13[[#This Row],[Date of Call]],"dddd")</f>
        <v>Saturday</v>
      </c>
      <c r="J1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7">
        <f>ROUND(Table13[[#This Row],[Satisfaction Rating]],0)</f>
        <v>3</v>
      </c>
    </row>
    <row r="128" spans="1:11" x14ac:dyDescent="0.3">
      <c r="A128" s="23" t="s">
        <v>169</v>
      </c>
      <c r="B128" s="6" t="s">
        <v>13</v>
      </c>
      <c r="C128" s="6">
        <v>95</v>
      </c>
      <c r="D128" s="13" t="s">
        <v>29</v>
      </c>
      <c r="E128" s="14">
        <v>44975</v>
      </c>
      <c r="F128" s="6">
        <v>52</v>
      </c>
      <c r="G128" s="24">
        <v>4.8</v>
      </c>
      <c r="H128">
        <f>IF(MONTH(Table13[[#This Row],[Date of Call]])&lt;6, YEAR(Table13[[#This Row],[Date of Call]]),YEAR(Table13[[#This Row],[Date of Call]])+1)</f>
        <v>2023</v>
      </c>
      <c r="I128" t="str">
        <f>TEXT(Table13[[#This Row],[Date of Call]],"dddd")</f>
        <v>Saturday</v>
      </c>
      <c r="J1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8">
        <f>ROUND(Table13[[#This Row],[Satisfaction Rating]],0)</f>
        <v>5</v>
      </c>
    </row>
    <row r="129" spans="1:11" x14ac:dyDescent="0.3">
      <c r="A129" s="23" t="s">
        <v>170</v>
      </c>
      <c r="B129" s="6" t="s">
        <v>18</v>
      </c>
      <c r="C129" s="6">
        <v>65</v>
      </c>
      <c r="D129" s="13" t="s">
        <v>32</v>
      </c>
      <c r="E129" s="14">
        <v>44976</v>
      </c>
      <c r="F129" s="6">
        <v>80</v>
      </c>
      <c r="G129" s="24">
        <v>4</v>
      </c>
      <c r="H129">
        <f>IF(MONTH(Table13[[#This Row],[Date of Call]])&lt;6, YEAR(Table13[[#This Row],[Date of Call]]),YEAR(Table13[[#This Row],[Date of Call]])+1)</f>
        <v>2023</v>
      </c>
      <c r="I129" t="str">
        <f>TEXT(Table13[[#This Row],[Date of Call]],"dddd")</f>
        <v>Sunday</v>
      </c>
      <c r="J1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29">
        <f>ROUND(Table13[[#This Row],[Satisfaction Rating]],0)</f>
        <v>4</v>
      </c>
    </row>
    <row r="130" spans="1:11" x14ac:dyDescent="0.3">
      <c r="A130" s="23" t="s">
        <v>171</v>
      </c>
      <c r="B130" s="6" t="s">
        <v>14</v>
      </c>
      <c r="C130" s="6">
        <v>114</v>
      </c>
      <c r="D130" s="13" t="s">
        <v>28</v>
      </c>
      <c r="E130" s="14">
        <v>44976</v>
      </c>
      <c r="F130" s="6">
        <v>54</v>
      </c>
      <c r="G130" s="24">
        <v>1.1000000000000001</v>
      </c>
      <c r="H130">
        <f>IF(MONTH(Table13[[#This Row],[Date of Call]])&lt;6, YEAR(Table13[[#This Row],[Date of Call]]),YEAR(Table13[[#This Row],[Date of Call]])+1)</f>
        <v>2023</v>
      </c>
      <c r="I130" t="str">
        <f>TEXT(Table13[[#This Row],[Date of Call]],"dddd")</f>
        <v>Sunday</v>
      </c>
      <c r="J1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30">
        <f>ROUND(Table13[[#This Row],[Satisfaction Rating]],0)</f>
        <v>1</v>
      </c>
    </row>
    <row r="131" spans="1:11" x14ac:dyDescent="0.3">
      <c r="A131" s="23" t="s">
        <v>172</v>
      </c>
      <c r="B131" s="6" t="s">
        <v>7</v>
      </c>
      <c r="C131" s="6">
        <v>155</v>
      </c>
      <c r="D131" s="13" t="s">
        <v>28</v>
      </c>
      <c r="E131" s="14">
        <v>44977</v>
      </c>
      <c r="F131" s="6">
        <v>80</v>
      </c>
      <c r="G131" s="24">
        <v>3.9</v>
      </c>
      <c r="H131">
        <f>IF(MONTH(Table13[[#This Row],[Date of Call]])&lt;6, YEAR(Table13[[#This Row],[Date of Call]]),YEAR(Table13[[#This Row],[Date of Call]])+1)</f>
        <v>2023</v>
      </c>
      <c r="I131" t="str">
        <f>TEXT(Table13[[#This Row],[Date of Call]],"dddd")</f>
        <v>Monday</v>
      </c>
      <c r="J1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31">
        <f>ROUND(Table13[[#This Row],[Satisfaction Rating]],0)</f>
        <v>4</v>
      </c>
    </row>
    <row r="132" spans="1:11" x14ac:dyDescent="0.3">
      <c r="A132" s="23" t="s">
        <v>173</v>
      </c>
      <c r="B132" s="6" t="s">
        <v>18</v>
      </c>
      <c r="C132" s="6">
        <v>114</v>
      </c>
      <c r="D132" s="13" t="s">
        <v>32</v>
      </c>
      <c r="E132" s="14">
        <v>44978</v>
      </c>
      <c r="F132" s="6">
        <v>120</v>
      </c>
      <c r="G132" s="24">
        <v>1.8</v>
      </c>
      <c r="H132">
        <f>IF(MONTH(Table13[[#This Row],[Date of Call]])&lt;6, YEAR(Table13[[#This Row],[Date of Call]]),YEAR(Table13[[#This Row],[Date of Call]])+1)</f>
        <v>2023</v>
      </c>
      <c r="I132" t="str">
        <f>TEXT(Table13[[#This Row],[Date of Call]],"dddd")</f>
        <v>Tuesday</v>
      </c>
      <c r="J1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32">
        <f>ROUND(Table13[[#This Row],[Satisfaction Rating]],0)</f>
        <v>2</v>
      </c>
    </row>
    <row r="133" spans="1:11" x14ac:dyDescent="0.3">
      <c r="A133" s="23" t="s">
        <v>174</v>
      </c>
      <c r="B133" s="6" t="s">
        <v>10</v>
      </c>
      <c r="C133" s="6">
        <v>130</v>
      </c>
      <c r="D133" s="13" t="s">
        <v>31</v>
      </c>
      <c r="E133" s="14">
        <v>44978</v>
      </c>
      <c r="F133" s="6">
        <v>150</v>
      </c>
      <c r="G133" s="24">
        <v>1</v>
      </c>
      <c r="H133">
        <f>IF(MONTH(Table13[[#This Row],[Date of Call]])&lt;6, YEAR(Table13[[#This Row],[Date of Call]]),YEAR(Table13[[#This Row],[Date of Call]])+1)</f>
        <v>2023</v>
      </c>
      <c r="I133" t="str">
        <f>TEXT(Table13[[#This Row],[Date of Call]],"dddd")</f>
        <v>Tuesday</v>
      </c>
      <c r="J1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33">
        <f>ROUND(Table13[[#This Row],[Satisfaction Rating]],0)</f>
        <v>1</v>
      </c>
    </row>
    <row r="134" spans="1:11" x14ac:dyDescent="0.3">
      <c r="A134" s="23" t="s">
        <v>175</v>
      </c>
      <c r="B134" s="6" t="s">
        <v>7</v>
      </c>
      <c r="C134" s="6">
        <v>89</v>
      </c>
      <c r="D134" s="13" t="s">
        <v>32</v>
      </c>
      <c r="E134" s="14">
        <v>44978</v>
      </c>
      <c r="F134" s="6">
        <v>90</v>
      </c>
      <c r="G134" s="24">
        <v>4.3</v>
      </c>
      <c r="H134">
        <f>IF(MONTH(Table13[[#This Row],[Date of Call]])&lt;6, YEAR(Table13[[#This Row],[Date of Call]]),YEAR(Table13[[#This Row],[Date of Call]])+1)</f>
        <v>2023</v>
      </c>
      <c r="I134" t="str">
        <f>TEXT(Table13[[#This Row],[Date of Call]],"dddd")</f>
        <v>Tuesday</v>
      </c>
      <c r="J1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34">
        <f>ROUND(Table13[[#This Row],[Satisfaction Rating]],0)</f>
        <v>4</v>
      </c>
    </row>
    <row r="135" spans="1:11" x14ac:dyDescent="0.3">
      <c r="A135" s="23" t="s">
        <v>176</v>
      </c>
      <c r="B135" s="6" t="s">
        <v>4</v>
      </c>
      <c r="C135" s="6">
        <v>61</v>
      </c>
      <c r="D135" s="13" t="s">
        <v>30</v>
      </c>
      <c r="E135" s="14">
        <v>44979</v>
      </c>
      <c r="F135" s="6">
        <v>140</v>
      </c>
      <c r="G135" s="24">
        <v>3.4</v>
      </c>
      <c r="H135">
        <f>IF(MONTH(Table13[[#This Row],[Date of Call]])&lt;6, YEAR(Table13[[#This Row],[Date of Call]]),YEAR(Table13[[#This Row],[Date of Call]])+1)</f>
        <v>2023</v>
      </c>
      <c r="I135" t="str">
        <f>TEXT(Table13[[#This Row],[Date of Call]],"dddd")</f>
        <v>Wednesday</v>
      </c>
      <c r="J1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35">
        <f>ROUND(Table13[[#This Row],[Satisfaction Rating]],0)</f>
        <v>3</v>
      </c>
    </row>
    <row r="136" spans="1:11" x14ac:dyDescent="0.3">
      <c r="A136" s="23" t="s">
        <v>177</v>
      </c>
      <c r="B136" s="6" t="s">
        <v>13</v>
      </c>
      <c r="C136" s="6">
        <v>154</v>
      </c>
      <c r="D136" s="13" t="s">
        <v>28</v>
      </c>
      <c r="E136" s="14">
        <v>44979</v>
      </c>
      <c r="F136" s="6">
        <v>22</v>
      </c>
      <c r="G136" s="24">
        <v>3.4</v>
      </c>
      <c r="H136">
        <f>IF(MONTH(Table13[[#This Row],[Date of Call]])&lt;6, YEAR(Table13[[#This Row],[Date of Call]]),YEAR(Table13[[#This Row],[Date of Call]])+1)</f>
        <v>2023</v>
      </c>
      <c r="I136" t="str">
        <f>TEXT(Table13[[#This Row],[Date of Call]],"dddd")</f>
        <v>Wednesday</v>
      </c>
      <c r="J1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36">
        <f>ROUND(Table13[[#This Row],[Satisfaction Rating]],0)</f>
        <v>3</v>
      </c>
    </row>
    <row r="137" spans="1:11" x14ac:dyDescent="0.3">
      <c r="A137" s="23" t="s">
        <v>178</v>
      </c>
      <c r="B137" s="6" t="s">
        <v>18</v>
      </c>
      <c r="C137" s="6">
        <v>115</v>
      </c>
      <c r="D137" s="13" t="s">
        <v>31</v>
      </c>
      <c r="E137" s="14">
        <v>44980</v>
      </c>
      <c r="F137" s="6">
        <v>150</v>
      </c>
      <c r="G137" s="24">
        <v>4.0999999999999996</v>
      </c>
      <c r="H137">
        <f>IF(MONTH(Table13[[#This Row],[Date of Call]])&lt;6, YEAR(Table13[[#This Row],[Date of Call]]),YEAR(Table13[[#This Row],[Date of Call]])+1)</f>
        <v>2023</v>
      </c>
      <c r="I137" t="str">
        <f>TEXT(Table13[[#This Row],[Date of Call]],"dddd")</f>
        <v>Thursday</v>
      </c>
      <c r="J1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37">
        <f>ROUND(Table13[[#This Row],[Satisfaction Rating]],0)</f>
        <v>4</v>
      </c>
    </row>
    <row r="138" spans="1:11" x14ac:dyDescent="0.3">
      <c r="A138" s="23" t="s">
        <v>179</v>
      </c>
      <c r="B138" s="6" t="s">
        <v>11</v>
      </c>
      <c r="C138" s="6">
        <v>138</v>
      </c>
      <c r="D138" s="13" t="s">
        <v>29</v>
      </c>
      <c r="E138" s="14">
        <v>44981</v>
      </c>
      <c r="F138" s="6">
        <v>35</v>
      </c>
      <c r="G138" s="24">
        <v>4.8</v>
      </c>
      <c r="H138">
        <f>IF(MONTH(Table13[[#This Row],[Date of Call]])&lt;6, YEAR(Table13[[#This Row],[Date of Call]]),YEAR(Table13[[#This Row],[Date of Call]])+1)</f>
        <v>2023</v>
      </c>
      <c r="I138" t="str">
        <f>TEXT(Table13[[#This Row],[Date of Call]],"dddd")</f>
        <v>Friday</v>
      </c>
      <c r="J1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38">
        <f>ROUND(Table13[[#This Row],[Satisfaction Rating]],0)</f>
        <v>5</v>
      </c>
    </row>
    <row r="139" spans="1:11" x14ac:dyDescent="0.3">
      <c r="A139" s="23" t="s">
        <v>180</v>
      </c>
      <c r="B139" s="6" t="s">
        <v>17</v>
      </c>
      <c r="C139" s="6">
        <v>153</v>
      </c>
      <c r="D139" s="13" t="s">
        <v>32</v>
      </c>
      <c r="E139" s="14">
        <v>44981</v>
      </c>
      <c r="F139" s="6">
        <v>200</v>
      </c>
      <c r="G139" s="24">
        <v>2</v>
      </c>
      <c r="H139">
        <f>IF(MONTH(Table13[[#This Row],[Date of Call]])&lt;6, YEAR(Table13[[#This Row],[Date of Call]]),YEAR(Table13[[#This Row],[Date of Call]])+1)</f>
        <v>2023</v>
      </c>
      <c r="I139" t="str">
        <f>TEXT(Table13[[#This Row],[Date of Call]],"dddd")</f>
        <v>Friday</v>
      </c>
      <c r="J1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39">
        <f>ROUND(Table13[[#This Row],[Satisfaction Rating]],0)</f>
        <v>2</v>
      </c>
    </row>
    <row r="140" spans="1:11" x14ac:dyDescent="0.3">
      <c r="A140" s="23" t="s">
        <v>181</v>
      </c>
      <c r="B140" s="6" t="s">
        <v>18</v>
      </c>
      <c r="C140" s="6">
        <v>61</v>
      </c>
      <c r="D140" s="13" t="s">
        <v>30</v>
      </c>
      <c r="E140" s="14">
        <v>44982</v>
      </c>
      <c r="F140" s="6">
        <v>150</v>
      </c>
      <c r="G140" s="24">
        <v>4.5999999999999996</v>
      </c>
      <c r="H140">
        <f>IF(MONTH(Table13[[#This Row],[Date of Call]])&lt;6, YEAR(Table13[[#This Row],[Date of Call]]),YEAR(Table13[[#This Row],[Date of Call]])+1)</f>
        <v>2023</v>
      </c>
      <c r="I140" t="str">
        <f>TEXT(Table13[[#This Row],[Date of Call]],"dddd")</f>
        <v>Saturday</v>
      </c>
      <c r="J1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40">
        <f>ROUND(Table13[[#This Row],[Satisfaction Rating]],0)</f>
        <v>5</v>
      </c>
    </row>
    <row r="141" spans="1:11" x14ac:dyDescent="0.3">
      <c r="A141" s="23" t="s">
        <v>182</v>
      </c>
      <c r="B141" s="6" t="s">
        <v>12</v>
      </c>
      <c r="C141" s="6">
        <v>62</v>
      </c>
      <c r="D141" s="13" t="s">
        <v>32</v>
      </c>
      <c r="E141" s="14">
        <v>44982</v>
      </c>
      <c r="F141" s="6">
        <v>21</v>
      </c>
      <c r="G141" s="24">
        <v>2.6</v>
      </c>
      <c r="H141">
        <f>IF(MONTH(Table13[[#This Row],[Date of Call]])&lt;6, YEAR(Table13[[#This Row],[Date of Call]]),YEAR(Table13[[#This Row],[Date of Call]])+1)</f>
        <v>2023</v>
      </c>
      <c r="I141" t="str">
        <f>TEXT(Table13[[#This Row],[Date of Call]],"dddd")</f>
        <v>Saturday</v>
      </c>
      <c r="J1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41">
        <f>ROUND(Table13[[#This Row],[Satisfaction Rating]],0)</f>
        <v>3</v>
      </c>
    </row>
    <row r="142" spans="1:11" x14ac:dyDescent="0.3">
      <c r="A142" s="23" t="s">
        <v>183</v>
      </c>
      <c r="B142" s="6" t="s">
        <v>4</v>
      </c>
      <c r="C142" s="6">
        <v>151</v>
      </c>
      <c r="D142" s="13" t="s">
        <v>31</v>
      </c>
      <c r="E142" s="14">
        <v>44983</v>
      </c>
      <c r="F142" s="6">
        <v>46</v>
      </c>
      <c r="G142" s="24">
        <v>4.9000000000000004</v>
      </c>
      <c r="H142">
        <f>IF(MONTH(Table13[[#This Row],[Date of Call]])&lt;6, YEAR(Table13[[#This Row],[Date of Call]]),YEAR(Table13[[#This Row],[Date of Call]])+1)</f>
        <v>2023</v>
      </c>
      <c r="I142" t="str">
        <f>TEXT(Table13[[#This Row],[Date of Call]],"dddd")</f>
        <v>Sunday</v>
      </c>
      <c r="J1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42">
        <f>ROUND(Table13[[#This Row],[Satisfaction Rating]],0)</f>
        <v>5</v>
      </c>
    </row>
    <row r="143" spans="1:11" x14ac:dyDescent="0.3">
      <c r="A143" s="23" t="s">
        <v>184</v>
      </c>
      <c r="B143" s="6" t="s">
        <v>15</v>
      </c>
      <c r="C143" s="6">
        <v>102</v>
      </c>
      <c r="D143" s="13" t="s">
        <v>28</v>
      </c>
      <c r="E143" s="14">
        <v>44983</v>
      </c>
      <c r="F143" s="6">
        <v>165</v>
      </c>
      <c r="G143" s="24">
        <v>2.7</v>
      </c>
      <c r="H143">
        <f>IF(MONTH(Table13[[#This Row],[Date of Call]])&lt;6, YEAR(Table13[[#This Row],[Date of Call]]),YEAR(Table13[[#This Row],[Date of Call]])+1)</f>
        <v>2023</v>
      </c>
      <c r="I143" t="str">
        <f>TEXT(Table13[[#This Row],[Date of Call]],"dddd")</f>
        <v>Sunday</v>
      </c>
      <c r="J1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43">
        <f>ROUND(Table13[[#This Row],[Satisfaction Rating]],0)</f>
        <v>3</v>
      </c>
    </row>
    <row r="144" spans="1:11" x14ac:dyDescent="0.3">
      <c r="A144" s="23" t="s">
        <v>185</v>
      </c>
      <c r="B144" s="6" t="s">
        <v>9</v>
      </c>
      <c r="C144" s="6">
        <v>64</v>
      </c>
      <c r="D144" s="13" t="s">
        <v>32</v>
      </c>
      <c r="E144" s="14">
        <v>44983</v>
      </c>
      <c r="F144" s="6">
        <v>84</v>
      </c>
      <c r="G144" s="24">
        <v>4.0999999999999996</v>
      </c>
      <c r="H144">
        <f>IF(MONTH(Table13[[#This Row],[Date of Call]])&lt;6, YEAR(Table13[[#This Row],[Date of Call]]),YEAR(Table13[[#This Row],[Date of Call]])+1)</f>
        <v>2023</v>
      </c>
      <c r="I144" t="str">
        <f>TEXT(Table13[[#This Row],[Date of Call]],"dddd")</f>
        <v>Sunday</v>
      </c>
      <c r="J1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44">
        <f>ROUND(Table13[[#This Row],[Satisfaction Rating]],0)</f>
        <v>4</v>
      </c>
    </row>
    <row r="145" spans="1:11" x14ac:dyDescent="0.3">
      <c r="A145" s="23" t="s">
        <v>186</v>
      </c>
      <c r="B145" s="6" t="s">
        <v>7</v>
      </c>
      <c r="C145" s="6">
        <v>6</v>
      </c>
      <c r="D145" s="13" t="s">
        <v>28</v>
      </c>
      <c r="E145" s="14">
        <v>44984</v>
      </c>
      <c r="F145" s="6">
        <v>102</v>
      </c>
      <c r="G145" s="24">
        <v>4.4000000000000004</v>
      </c>
      <c r="H145">
        <f>IF(MONTH(Table13[[#This Row],[Date of Call]])&lt;6, YEAR(Table13[[#This Row],[Date of Call]]),YEAR(Table13[[#This Row],[Date of Call]])+1)</f>
        <v>2023</v>
      </c>
      <c r="I145" t="str">
        <f>TEXT(Table13[[#This Row],[Date of Call]],"dddd")</f>
        <v>Monday</v>
      </c>
      <c r="J1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145">
        <f>ROUND(Table13[[#This Row],[Satisfaction Rating]],0)</f>
        <v>4</v>
      </c>
    </row>
    <row r="146" spans="1:11" x14ac:dyDescent="0.3">
      <c r="A146" s="23" t="s">
        <v>187</v>
      </c>
      <c r="B146" s="6" t="s">
        <v>9</v>
      </c>
      <c r="C146" s="6">
        <v>129</v>
      </c>
      <c r="D146" s="13" t="s">
        <v>32</v>
      </c>
      <c r="E146" s="14">
        <v>44984</v>
      </c>
      <c r="F146" s="6">
        <v>180</v>
      </c>
      <c r="G146" s="24">
        <v>4.8</v>
      </c>
      <c r="H146">
        <f>IF(MONTH(Table13[[#This Row],[Date of Call]])&lt;6, YEAR(Table13[[#This Row],[Date of Call]]),YEAR(Table13[[#This Row],[Date of Call]])+1)</f>
        <v>2023</v>
      </c>
      <c r="I146" t="str">
        <f>TEXT(Table13[[#This Row],[Date of Call]],"dddd")</f>
        <v>Monday</v>
      </c>
      <c r="J1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46">
        <f>ROUND(Table13[[#This Row],[Satisfaction Rating]],0)</f>
        <v>5</v>
      </c>
    </row>
    <row r="147" spans="1:11" x14ac:dyDescent="0.3">
      <c r="A147" s="23" t="s">
        <v>188</v>
      </c>
      <c r="B147" s="6" t="s">
        <v>12</v>
      </c>
      <c r="C147" s="6">
        <v>42</v>
      </c>
      <c r="D147" s="13" t="s">
        <v>31</v>
      </c>
      <c r="E147" s="14">
        <v>44985</v>
      </c>
      <c r="F147" s="6">
        <v>111</v>
      </c>
      <c r="G147" s="24">
        <v>3</v>
      </c>
      <c r="H147">
        <f>IF(MONTH(Table13[[#This Row],[Date of Call]])&lt;6, YEAR(Table13[[#This Row],[Date of Call]]),YEAR(Table13[[#This Row],[Date of Call]])+1)</f>
        <v>2023</v>
      </c>
      <c r="I147" t="str">
        <f>TEXT(Table13[[#This Row],[Date of Call]],"dddd")</f>
        <v>Tuesday</v>
      </c>
      <c r="J1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47">
        <f>ROUND(Table13[[#This Row],[Satisfaction Rating]],0)</f>
        <v>3</v>
      </c>
    </row>
    <row r="148" spans="1:11" x14ac:dyDescent="0.3">
      <c r="A148" s="23" t="s">
        <v>189</v>
      </c>
      <c r="B148" s="6" t="s">
        <v>12</v>
      </c>
      <c r="C148" s="6">
        <v>71</v>
      </c>
      <c r="D148" s="13" t="s">
        <v>30</v>
      </c>
      <c r="E148" s="14">
        <v>44985</v>
      </c>
      <c r="F148" s="6">
        <v>104</v>
      </c>
      <c r="G148" s="24">
        <v>3.1</v>
      </c>
      <c r="H148">
        <f>IF(MONTH(Table13[[#This Row],[Date of Call]])&lt;6, YEAR(Table13[[#This Row],[Date of Call]]),YEAR(Table13[[#This Row],[Date of Call]])+1)</f>
        <v>2023</v>
      </c>
      <c r="I148" t="str">
        <f>TEXT(Table13[[#This Row],[Date of Call]],"dddd")</f>
        <v>Tuesday</v>
      </c>
      <c r="J1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48">
        <f>ROUND(Table13[[#This Row],[Satisfaction Rating]],0)</f>
        <v>3</v>
      </c>
    </row>
    <row r="149" spans="1:11" x14ac:dyDescent="0.3">
      <c r="A149" s="23" t="s">
        <v>190</v>
      </c>
      <c r="B149" s="6" t="s">
        <v>8</v>
      </c>
      <c r="C149" s="6">
        <v>53</v>
      </c>
      <c r="D149" s="13" t="s">
        <v>28</v>
      </c>
      <c r="E149" s="14">
        <v>44985</v>
      </c>
      <c r="F149" s="6">
        <v>80</v>
      </c>
      <c r="G149" s="24">
        <v>2.6</v>
      </c>
      <c r="H149">
        <f>IF(MONTH(Table13[[#This Row],[Date of Call]])&lt;6, YEAR(Table13[[#This Row],[Date of Call]]),YEAR(Table13[[#This Row],[Date of Call]])+1)</f>
        <v>2023</v>
      </c>
      <c r="I149" t="str">
        <f>TEXT(Table13[[#This Row],[Date of Call]],"dddd")</f>
        <v>Tuesday</v>
      </c>
      <c r="J1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49">
        <f>ROUND(Table13[[#This Row],[Satisfaction Rating]],0)</f>
        <v>3</v>
      </c>
    </row>
    <row r="150" spans="1:11" x14ac:dyDescent="0.3">
      <c r="A150" s="23" t="s">
        <v>191</v>
      </c>
      <c r="B150" s="6" t="s">
        <v>14</v>
      </c>
      <c r="C150" s="6">
        <v>155</v>
      </c>
      <c r="D150" s="13" t="s">
        <v>30</v>
      </c>
      <c r="E150" s="14">
        <v>44986</v>
      </c>
      <c r="F150" s="6">
        <v>132</v>
      </c>
      <c r="G150" s="24">
        <v>4.5999999999999996</v>
      </c>
      <c r="H150">
        <f>IF(MONTH(Table13[[#This Row],[Date of Call]])&lt;6, YEAR(Table13[[#This Row],[Date of Call]]),YEAR(Table13[[#This Row],[Date of Call]])+1)</f>
        <v>2023</v>
      </c>
      <c r="I150" t="str">
        <f>TEXT(Table13[[#This Row],[Date of Call]],"dddd")</f>
        <v>Wednesday</v>
      </c>
      <c r="J1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50">
        <f>ROUND(Table13[[#This Row],[Satisfaction Rating]],0)</f>
        <v>5</v>
      </c>
    </row>
    <row r="151" spans="1:11" x14ac:dyDescent="0.3">
      <c r="A151" s="23" t="s">
        <v>192</v>
      </c>
      <c r="B151" s="6" t="s">
        <v>14</v>
      </c>
      <c r="C151" s="6">
        <v>90</v>
      </c>
      <c r="D151" s="13" t="s">
        <v>31</v>
      </c>
      <c r="E151" s="14">
        <v>44986</v>
      </c>
      <c r="F151" s="6">
        <v>170</v>
      </c>
      <c r="G151" s="24">
        <v>3.7</v>
      </c>
      <c r="H151">
        <f>IF(MONTH(Table13[[#This Row],[Date of Call]])&lt;6, YEAR(Table13[[#This Row],[Date of Call]]),YEAR(Table13[[#This Row],[Date of Call]])+1)</f>
        <v>2023</v>
      </c>
      <c r="I151" t="str">
        <f>TEXT(Table13[[#This Row],[Date of Call]],"dddd")</f>
        <v>Wednesday</v>
      </c>
      <c r="J1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51">
        <f>ROUND(Table13[[#This Row],[Satisfaction Rating]],0)</f>
        <v>4</v>
      </c>
    </row>
    <row r="152" spans="1:11" x14ac:dyDescent="0.3">
      <c r="A152" s="23" t="s">
        <v>193</v>
      </c>
      <c r="B152" s="6" t="s">
        <v>9</v>
      </c>
      <c r="C152" s="6">
        <v>166</v>
      </c>
      <c r="D152" s="13" t="s">
        <v>29</v>
      </c>
      <c r="E152" s="14">
        <v>44986</v>
      </c>
      <c r="F152" s="6">
        <v>36</v>
      </c>
      <c r="G152" s="24">
        <v>3.8</v>
      </c>
      <c r="H152">
        <f>IF(MONTH(Table13[[#This Row],[Date of Call]])&lt;6, YEAR(Table13[[#This Row],[Date of Call]]),YEAR(Table13[[#This Row],[Date of Call]])+1)</f>
        <v>2023</v>
      </c>
      <c r="I152" t="str">
        <f>TEXT(Table13[[#This Row],[Date of Call]],"dddd")</f>
        <v>Wednesday</v>
      </c>
      <c r="J1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52">
        <f>ROUND(Table13[[#This Row],[Satisfaction Rating]],0)</f>
        <v>4</v>
      </c>
    </row>
    <row r="153" spans="1:11" x14ac:dyDescent="0.3">
      <c r="A153" s="23" t="s">
        <v>194</v>
      </c>
      <c r="B153" s="6" t="s">
        <v>5</v>
      </c>
      <c r="C153" s="6">
        <v>89</v>
      </c>
      <c r="D153" s="13" t="s">
        <v>30</v>
      </c>
      <c r="E153" s="14">
        <v>44986</v>
      </c>
      <c r="F153" s="6">
        <v>126</v>
      </c>
      <c r="G153" s="24">
        <v>3.6</v>
      </c>
      <c r="H153">
        <f>IF(MONTH(Table13[[#This Row],[Date of Call]])&lt;6, YEAR(Table13[[#This Row],[Date of Call]]),YEAR(Table13[[#This Row],[Date of Call]])+1)</f>
        <v>2023</v>
      </c>
      <c r="I153" t="str">
        <f>TEXT(Table13[[#This Row],[Date of Call]],"dddd")</f>
        <v>Wednesday</v>
      </c>
      <c r="J1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53">
        <f>ROUND(Table13[[#This Row],[Satisfaction Rating]],0)</f>
        <v>4</v>
      </c>
    </row>
    <row r="154" spans="1:11" x14ac:dyDescent="0.3">
      <c r="A154" s="23" t="s">
        <v>195</v>
      </c>
      <c r="B154" s="6" t="s">
        <v>18</v>
      </c>
      <c r="C154" s="6">
        <v>152</v>
      </c>
      <c r="D154" s="13" t="s">
        <v>28</v>
      </c>
      <c r="E154" s="14">
        <v>44986</v>
      </c>
      <c r="F154" s="6">
        <v>215</v>
      </c>
      <c r="G154" s="24">
        <v>4.4000000000000004</v>
      </c>
      <c r="H154">
        <f>IF(MONTH(Table13[[#This Row],[Date of Call]])&lt;6, YEAR(Table13[[#This Row],[Date of Call]]),YEAR(Table13[[#This Row],[Date of Call]])+1)</f>
        <v>2023</v>
      </c>
      <c r="I154" t="str">
        <f>TEXT(Table13[[#This Row],[Date of Call]],"dddd")</f>
        <v>Wednesday</v>
      </c>
      <c r="J1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54">
        <f>ROUND(Table13[[#This Row],[Satisfaction Rating]],0)</f>
        <v>4</v>
      </c>
    </row>
    <row r="155" spans="1:11" x14ac:dyDescent="0.3">
      <c r="A155" s="23" t="s">
        <v>196</v>
      </c>
      <c r="B155" s="6" t="s">
        <v>5</v>
      </c>
      <c r="C155" s="6">
        <v>137</v>
      </c>
      <c r="D155" s="13" t="s">
        <v>31</v>
      </c>
      <c r="E155" s="14">
        <v>44986</v>
      </c>
      <c r="F155" s="6">
        <v>114</v>
      </c>
      <c r="G155" s="24">
        <v>3.2</v>
      </c>
      <c r="H155">
        <f>IF(MONTH(Table13[[#This Row],[Date of Call]])&lt;6, YEAR(Table13[[#This Row],[Date of Call]]),YEAR(Table13[[#This Row],[Date of Call]])+1)</f>
        <v>2023</v>
      </c>
      <c r="I155" t="str">
        <f>TEXT(Table13[[#This Row],[Date of Call]],"dddd")</f>
        <v>Wednesday</v>
      </c>
      <c r="J1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55">
        <f>ROUND(Table13[[#This Row],[Satisfaction Rating]],0)</f>
        <v>3</v>
      </c>
    </row>
    <row r="156" spans="1:11" x14ac:dyDescent="0.3">
      <c r="A156" s="23" t="s">
        <v>197</v>
      </c>
      <c r="B156" s="6" t="s">
        <v>5</v>
      </c>
      <c r="C156" s="6">
        <v>43</v>
      </c>
      <c r="D156" s="13" t="s">
        <v>31</v>
      </c>
      <c r="E156" s="14">
        <v>44986</v>
      </c>
      <c r="F156" s="6">
        <v>99</v>
      </c>
      <c r="G156" s="24">
        <v>4.7</v>
      </c>
      <c r="H156">
        <f>IF(MONTH(Table13[[#This Row],[Date of Call]])&lt;6, YEAR(Table13[[#This Row],[Date of Call]]),YEAR(Table13[[#This Row],[Date of Call]])+1)</f>
        <v>2023</v>
      </c>
      <c r="I156" t="str">
        <f>TEXT(Table13[[#This Row],[Date of Call]],"dddd")</f>
        <v>Wednesday</v>
      </c>
      <c r="J1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56">
        <f>ROUND(Table13[[#This Row],[Satisfaction Rating]],0)</f>
        <v>5</v>
      </c>
    </row>
    <row r="157" spans="1:11" x14ac:dyDescent="0.3">
      <c r="A157" s="23" t="s">
        <v>198</v>
      </c>
      <c r="B157" s="6" t="s">
        <v>13</v>
      </c>
      <c r="C157" s="6">
        <v>114</v>
      </c>
      <c r="D157" s="13" t="s">
        <v>31</v>
      </c>
      <c r="E157" s="14">
        <v>44987</v>
      </c>
      <c r="F157" s="6">
        <v>23</v>
      </c>
      <c r="G157" s="24">
        <v>4.8</v>
      </c>
      <c r="H157">
        <f>IF(MONTH(Table13[[#This Row],[Date of Call]])&lt;6, YEAR(Table13[[#This Row],[Date of Call]]),YEAR(Table13[[#This Row],[Date of Call]])+1)</f>
        <v>2023</v>
      </c>
      <c r="I157" t="str">
        <f>TEXT(Table13[[#This Row],[Date of Call]],"dddd")</f>
        <v>Thursday</v>
      </c>
      <c r="J1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57">
        <f>ROUND(Table13[[#This Row],[Satisfaction Rating]],0)</f>
        <v>5</v>
      </c>
    </row>
    <row r="158" spans="1:11" x14ac:dyDescent="0.3">
      <c r="A158" s="23" t="s">
        <v>199</v>
      </c>
      <c r="B158" s="6" t="s">
        <v>17</v>
      </c>
      <c r="C158" s="6">
        <v>103</v>
      </c>
      <c r="D158" s="13" t="s">
        <v>30</v>
      </c>
      <c r="E158" s="14">
        <v>44987</v>
      </c>
      <c r="F158" s="6">
        <v>75</v>
      </c>
      <c r="G158" s="24">
        <v>2.7</v>
      </c>
      <c r="H158">
        <f>IF(MONTH(Table13[[#This Row],[Date of Call]])&lt;6, YEAR(Table13[[#This Row],[Date of Call]]),YEAR(Table13[[#This Row],[Date of Call]])+1)</f>
        <v>2023</v>
      </c>
      <c r="I158" t="str">
        <f>TEXT(Table13[[#This Row],[Date of Call]],"dddd")</f>
        <v>Thursday</v>
      </c>
      <c r="J1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58">
        <f>ROUND(Table13[[#This Row],[Satisfaction Rating]],0)</f>
        <v>3</v>
      </c>
    </row>
    <row r="159" spans="1:11" x14ac:dyDescent="0.3">
      <c r="A159" s="23" t="s">
        <v>200</v>
      </c>
      <c r="B159" s="6" t="s">
        <v>5</v>
      </c>
      <c r="C159" s="6">
        <v>98</v>
      </c>
      <c r="D159" s="13" t="s">
        <v>28</v>
      </c>
      <c r="E159" s="14">
        <v>44987</v>
      </c>
      <c r="F159" s="6">
        <v>100</v>
      </c>
      <c r="G159" s="24">
        <v>3.8</v>
      </c>
      <c r="H159">
        <f>IF(MONTH(Table13[[#This Row],[Date of Call]])&lt;6, YEAR(Table13[[#This Row],[Date of Call]]),YEAR(Table13[[#This Row],[Date of Call]])+1)</f>
        <v>2023</v>
      </c>
      <c r="I159" t="str">
        <f>TEXT(Table13[[#This Row],[Date of Call]],"dddd")</f>
        <v>Thursday</v>
      </c>
      <c r="J1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59">
        <f>ROUND(Table13[[#This Row],[Satisfaction Rating]],0)</f>
        <v>4</v>
      </c>
    </row>
    <row r="160" spans="1:11" x14ac:dyDescent="0.3">
      <c r="A160" s="23" t="s">
        <v>201</v>
      </c>
      <c r="B160" s="6" t="s">
        <v>9</v>
      </c>
      <c r="C160" s="6">
        <v>106</v>
      </c>
      <c r="D160" s="13" t="s">
        <v>29</v>
      </c>
      <c r="E160" s="14">
        <v>44987</v>
      </c>
      <c r="F160" s="6">
        <v>108</v>
      </c>
      <c r="G160" s="24">
        <v>4.3</v>
      </c>
      <c r="H160">
        <f>IF(MONTH(Table13[[#This Row],[Date of Call]])&lt;6, YEAR(Table13[[#This Row],[Date of Call]]),YEAR(Table13[[#This Row],[Date of Call]])+1)</f>
        <v>2023</v>
      </c>
      <c r="I160" t="str">
        <f>TEXT(Table13[[#This Row],[Date of Call]],"dddd")</f>
        <v>Thursday</v>
      </c>
      <c r="J1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0">
        <f>ROUND(Table13[[#This Row],[Satisfaction Rating]],0)</f>
        <v>4</v>
      </c>
    </row>
    <row r="161" spans="1:11" x14ac:dyDescent="0.3">
      <c r="A161" s="23" t="s">
        <v>202</v>
      </c>
      <c r="B161" s="6" t="s">
        <v>7</v>
      </c>
      <c r="C161" s="6">
        <v>96</v>
      </c>
      <c r="D161" s="13" t="s">
        <v>29</v>
      </c>
      <c r="E161" s="14">
        <v>44987</v>
      </c>
      <c r="F161" s="6">
        <v>108</v>
      </c>
      <c r="G161" s="24">
        <v>5</v>
      </c>
      <c r="H161">
        <f>IF(MONTH(Table13[[#This Row],[Date of Call]])&lt;6, YEAR(Table13[[#This Row],[Date of Call]]),YEAR(Table13[[#This Row],[Date of Call]])+1)</f>
        <v>2023</v>
      </c>
      <c r="I161" t="str">
        <f>TEXT(Table13[[#This Row],[Date of Call]],"dddd")</f>
        <v>Thursday</v>
      </c>
      <c r="J1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1">
        <f>ROUND(Table13[[#This Row],[Satisfaction Rating]],0)</f>
        <v>5</v>
      </c>
    </row>
    <row r="162" spans="1:11" x14ac:dyDescent="0.3">
      <c r="A162" s="23" t="s">
        <v>203</v>
      </c>
      <c r="B162" s="6" t="s">
        <v>17</v>
      </c>
      <c r="C162" s="6">
        <v>70</v>
      </c>
      <c r="D162" s="13" t="s">
        <v>29</v>
      </c>
      <c r="E162" s="14">
        <v>44987</v>
      </c>
      <c r="F162" s="6">
        <v>28</v>
      </c>
      <c r="G162" s="24">
        <v>4.8</v>
      </c>
      <c r="H162">
        <f>IF(MONTH(Table13[[#This Row],[Date of Call]])&lt;6, YEAR(Table13[[#This Row],[Date of Call]]),YEAR(Table13[[#This Row],[Date of Call]])+1)</f>
        <v>2023</v>
      </c>
      <c r="I162" t="str">
        <f>TEXT(Table13[[#This Row],[Date of Call]],"dddd")</f>
        <v>Thursday</v>
      </c>
      <c r="J1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2">
        <f>ROUND(Table13[[#This Row],[Satisfaction Rating]],0)</f>
        <v>5</v>
      </c>
    </row>
    <row r="163" spans="1:11" x14ac:dyDescent="0.3">
      <c r="A163" s="23" t="s">
        <v>204</v>
      </c>
      <c r="B163" s="6" t="s">
        <v>12</v>
      </c>
      <c r="C163" s="6">
        <v>86</v>
      </c>
      <c r="D163" s="13" t="s">
        <v>32</v>
      </c>
      <c r="E163" s="14">
        <v>44988</v>
      </c>
      <c r="F163" s="6">
        <v>70</v>
      </c>
      <c r="G163" s="24">
        <v>4.9000000000000004</v>
      </c>
      <c r="H163">
        <f>IF(MONTH(Table13[[#This Row],[Date of Call]])&lt;6, YEAR(Table13[[#This Row],[Date of Call]]),YEAR(Table13[[#This Row],[Date of Call]])+1)</f>
        <v>2023</v>
      </c>
      <c r="I163" t="str">
        <f>TEXT(Table13[[#This Row],[Date of Call]],"dddd")</f>
        <v>Friday</v>
      </c>
      <c r="J1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3">
        <f>ROUND(Table13[[#This Row],[Satisfaction Rating]],0)</f>
        <v>5</v>
      </c>
    </row>
    <row r="164" spans="1:11" x14ac:dyDescent="0.3">
      <c r="A164" s="23" t="s">
        <v>205</v>
      </c>
      <c r="B164" s="6" t="s">
        <v>8</v>
      </c>
      <c r="C164" s="6">
        <v>64</v>
      </c>
      <c r="D164" s="13" t="s">
        <v>32</v>
      </c>
      <c r="E164" s="14">
        <v>44988</v>
      </c>
      <c r="F164" s="6">
        <v>172</v>
      </c>
      <c r="G164" s="24">
        <v>4.0999999999999996</v>
      </c>
      <c r="H164">
        <f>IF(MONTH(Table13[[#This Row],[Date of Call]])&lt;6, YEAR(Table13[[#This Row],[Date of Call]]),YEAR(Table13[[#This Row],[Date of Call]])+1)</f>
        <v>2023</v>
      </c>
      <c r="I164" t="str">
        <f>TEXT(Table13[[#This Row],[Date of Call]],"dddd")</f>
        <v>Friday</v>
      </c>
      <c r="J1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4">
        <f>ROUND(Table13[[#This Row],[Satisfaction Rating]],0)</f>
        <v>4</v>
      </c>
    </row>
    <row r="165" spans="1:11" x14ac:dyDescent="0.3">
      <c r="A165" s="23" t="s">
        <v>206</v>
      </c>
      <c r="B165" s="6" t="s">
        <v>7</v>
      </c>
      <c r="C165" s="6">
        <v>113</v>
      </c>
      <c r="D165" s="13" t="s">
        <v>28</v>
      </c>
      <c r="E165" s="14">
        <v>44988</v>
      </c>
      <c r="F165" s="6">
        <v>123</v>
      </c>
      <c r="G165" s="24">
        <v>4.4000000000000004</v>
      </c>
      <c r="H165">
        <f>IF(MONTH(Table13[[#This Row],[Date of Call]])&lt;6, YEAR(Table13[[#This Row],[Date of Call]]),YEAR(Table13[[#This Row],[Date of Call]])+1)</f>
        <v>2023</v>
      </c>
      <c r="I165" t="str">
        <f>TEXT(Table13[[#This Row],[Date of Call]],"dddd")</f>
        <v>Friday</v>
      </c>
      <c r="J1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5">
        <f>ROUND(Table13[[#This Row],[Satisfaction Rating]],0)</f>
        <v>4</v>
      </c>
    </row>
    <row r="166" spans="1:11" x14ac:dyDescent="0.3">
      <c r="A166" s="23" t="s">
        <v>207</v>
      </c>
      <c r="B166" s="6" t="s">
        <v>7</v>
      </c>
      <c r="C166" s="6">
        <v>21</v>
      </c>
      <c r="D166" s="13" t="s">
        <v>29</v>
      </c>
      <c r="E166" s="14">
        <v>44988</v>
      </c>
      <c r="F166" s="6">
        <v>93</v>
      </c>
      <c r="G166" s="24">
        <v>3.4</v>
      </c>
      <c r="H166">
        <f>IF(MONTH(Table13[[#This Row],[Date of Call]])&lt;6, YEAR(Table13[[#This Row],[Date of Call]]),YEAR(Table13[[#This Row],[Date of Call]])+1)</f>
        <v>2023</v>
      </c>
      <c r="I166" t="str">
        <f>TEXT(Table13[[#This Row],[Date of Call]],"dddd")</f>
        <v>Friday</v>
      </c>
      <c r="J1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66">
        <f>ROUND(Table13[[#This Row],[Satisfaction Rating]],0)</f>
        <v>3</v>
      </c>
    </row>
    <row r="167" spans="1:11" x14ac:dyDescent="0.3">
      <c r="A167" s="23" t="s">
        <v>208</v>
      </c>
      <c r="B167" s="6" t="s">
        <v>15</v>
      </c>
      <c r="C167" s="6">
        <v>107</v>
      </c>
      <c r="D167" s="13" t="s">
        <v>32</v>
      </c>
      <c r="E167" s="14">
        <v>44988</v>
      </c>
      <c r="F167" s="6">
        <v>66</v>
      </c>
      <c r="G167" s="24">
        <v>4</v>
      </c>
      <c r="H167">
        <f>IF(MONTH(Table13[[#This Row],[Date of Call]])&lt;6, YEAR(Table13[[#This Row],[Date of Call]]),YEAR(Table13[[#This Row],[Date of Call]])+1)</f>
        <v>2023</v>
      </c>
      <c r="I167" t="str">
        <f>TEXT(Table13[[#This Row],[Date of Call]],"dddd")</f>
        <v>Friday</v>
      </c>
      <c r="J1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67">
        <f>ROUND(Table13[[#This Row],[Satisfaction Rating]],0)</f>
        <v>4</v>
      </c>
    </row>
    <row r="168" spans="1:11" x14ac:dyDescent="0.3">
      <c r="A168" s="23" t="s">
        <v>209</v>
      </c>
      <c r="B168" s="6" t="s">
        <v>15</v>
      </c>
      <c r="C168" s="6">
        <v>131</v>
      </c>
      <c r="D168" s="13" t="s">
        <v>29</v>
      </c>
      <c r="E168" s="14">
        <v>44988</v>
      </c>
      <c r="F168" s="6">
        <v>39</v>
      </c>
      <c r="G168" s="24">
        <v>2.4</v>
      </c>
      <c r="H168">
        <f>IF(MONTH(Table13[[#This Row],[Date of Call]])&lt;6, YEAR(Table13[[#This Row],[Date of Call]]),YEAR(Table13[[#This Row],[Date of Call]])+1)</f>
        <v>2023</v>
      </c>
      <c r="I168" t="str">
        <f>TEXT(Table13[[#This Row],[Date of Call]],"dddd")</f>
        <v>Friday</v>
      </c>
      <c r="J1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68">
        <f>ROUND(Table13[[#This Row],[Satisfaction Rating]],0)</f>
        <v>2</v>
      </c>
    </row>
    <row r="169" spans="1:11" x14ac:dyDescent="0.3">
      <c r="A169" s="23" t="s">
        <v>210</v>
      </c>
      <c r="B169" s="6" t="s">
        <v>6</v>
      </c>
      <c r="C169" s="6">
        <v>11</v>
      </c>
      <c r="D169" s="13" t="s">
        <v>30</v>
      </c>
      <c r="E169" s="14">
        <v>44988</v>
      </c>
      <c r="F169" s="6">
        <v>25</v>
      </c>
      <c r="G169" s="24">
        <v>2.1</v>
      </c>
      <c r="H169">
        <f>IF(MONTH(Table13[[#This Row],[Date of Call]])&lt;6, YEAR(Table13[[#This Row],[Date of Call]]),YEAR(Table13[[#This Row],[Date of Call]])+1)</f>
        <v>2023</v>
      </c>
      <c r="I169" t="str">
        <f>TEXT(Table13[[#This Row],[Date of Call]],"dddd")</f>
        <v>Friday</v>
      </c>
      <c r="J1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69">
        <f>ROUND(Table13[[#This Row],[Satisfaction Rating]],0)</f>
        <v>2</v>
      </c>
    </row>
    <row r="170" spans="1:11" x14ac:dyDescent="0.3">
      <c r="A170" s="23" t="s">
        <v>211</v>
      </c>
      <c r="B170" s="6" t="s">
        <v>4</v>
      </c>
      <c r="C170" s="6">
        <v>86</v>
      </c>
      <c r="D170" s="13" t="s">
        <v>28</v>
      </c>
      <c r="E170" s="14">
        <v>44988</v>
      </c>
      <c r="F170" s="6">
        <v>68</v>
      </c>
      <c r="G170" s="24">
        <v>3</v>
      </c>
      <c r="H170">
        <f>IF(MONTH(Table13[[#This Row],[Date of Call]])&lt;6, YEAR(Table13[[#This Row],[Date of Call]]),YEAR(Table13[[#This Row],[Date of Call]])+1)</f>
        <v>2023</v>
      </c>
      <c r="I170" t="str">
        <f>TEXT(Table13[[#This Row],[Date of Call]],"dddd")</f>
        <v>Friday</v>
      </c>
      <c r="J1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0">
        <f>ROUND(Table13[[#This Row],[Satisfaction Rating]],0)</f>
        <v>3</v>
      </c>
    </row>
    <row r="171" spans="1:11" x14ac:dyDescent="0.3">
      <c r="A171" s="23" t="s">
        <v>212</v>
      </c>
      <c r="B171" s="6" t="s">
        <v>8</v>
      </c>
      <c r="C171" s="6">
        <v>28</v>
      </c>
      <c r="D171" s="13" t="s">
        <v>30</v>
      </c>
      <c r="E171" s="14">
        <v>44988</v>
      </c>
      <c r="F171" s="6">
        <v>84</v>
      </c>
      <c r="G171" s="24">
        <v>3.2</v>
      </c>
      <c r="H171">
        <f>IF(MONTH(Table13[[#This Row],[Date of Call]])&lt;6, YEAR(Table13[[#This Row],[Date of Call]]),YEAR(Table13[[#This Row],[Date of Call]])+1)</f>
        <v>2023</v>
      </c>
      <c r="I171" t="str">
        <f>TEXT(Table13[[#This Row],[Date of Call]],"dddd")</f>
        <v>Friday</v>
      </c>
      <c r="J1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71">
        <f>ROUND(Table13[[#This Row],[Satisfaction Rating]],0)</f>
        <v>3</v>
      </c>
    </row>
    <row r="172" spans="1:11" x14ac:dyDescent="0.3">
      <c r="A172" s="23" t="s">
        <v>213</v>
      </c>
      <c r="B172" s="6" t="s">
        <v>14</v>
      </c>
      <c r="C172" s="6">
        <v>139</v>
      </c>
      <c r="D172" s="13" t="s">
        <v>29</v>
      </c>
      <c r="E172" s="14">
        <v>44989</v>
      </c>
      <c r="F172" s="6">
        <v>88</v>
      </c>
      <c r="G172" s="24">
        <v>3.4</v>
      </c>
      <c r="H172">
        <f>IF(MONTH(Table13[[#This Row],[Date of Call]])&lt;6, YEAR(Table13[[#This Row],[Date of Call]]),YEAR(Table13[[#This Row],[Date of Call]])+1)</f>
        <v>2023</v>
      </c>
      <c r="I172" t="str">
        <f>TEXT(Table13[[#This Row],[Date of Call]],"dddd")</f>
        <v>Saturday</v>
      </c>
      <c r="J1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72">
        <f>ROUND(Table13[[#This Row],[Satisfaction Rating]],0)</f>
        <v>3</v>
      </c>
    </row>
    <row r="173" spans="1:11" x14ac:dyDescent="0.3">
      <c r="A173" s="23" t="s">
        <v>214</v>
      </c>
      <c r="B173" s="6" t="s">
        <v>9</v>
      </c>
      <c r="C173" s="6">
        <v>82</v>
      </c>
      <c r="D173" s="13" t="s">
        <v>28</v>
      </c>
      <c r="E173" s="14">
        <v>44989</v>
      </c>
      <c r="F173" s="6">
        <v>93</v>
      </c>
      <c r="G173" s="24">
        <v>2.7</v>
      </c>
      <c r="H173">
        <f>IF(MONTH(Table13[[#This Row],[Date of Call]])&lt;6, YEAR(Table13[[#This Row],[Date of Call]]),YEAR(Table13[[#This Row],[Date of Call]])+1)</f>
        <v>2023</v>
      </c>
      <c r="I173" t="str">
        <f>TEXT(Table13[[#This Row],[Date of Call]],"dddd")</f>
        <v>Saturday</v>
      </c>
      <c r="J1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3">
        <f>ROUND(Table13[[#This Row],[Satisfaction Rating]],0)</f>
        <v>3</v>
      </c>
    </row>
    <row r="174" spans="1:11" x14ac:dyDescent="0.3">
      <c r="A174" s="23" t="s">
        <v>215</v>
      </c>
      <c r="B174" s="6" t="s">
        <v>7</v>
      </c>
      <c r="C174" s="6">
        <v>101</v>
      </c>
      <c r="D174" s="13" t="s">
        <v>30</v>
      </c>
      <c r="E174" s="14">
        <v>44989</v>
      </c>
      <c r="F174" s="6">
        <v>128</v>
      </c>
      <c r="G174" s="24">
        <v>5</v>
      </c>
      <c r="H174">
        <f>IF(MONTH(Table13[[#This Row],[Date of Call]])&lt;6, YEAR(Table13[[#This Row],[Date of Call]]),YEAR(Table13[[#This Row],[Date of Call]])+1)</f>
        <v>2023</v>
      </c>
      <c r="I174" t="str">
        <f>TEXT(Table13[[#This Row],[Date of Call]],"dddd")</f>
        <v>Saturday</v>
      </c>
      <c r="J1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4">
        <f>ROUND(Table13[[#This Row],[Satisfaction Rating]],0)</f>
        <v>5</v>
      </c>
    </row>
    <row r="175" spans="1:11" x14ac:dyDescent="0.3">
      <c r="A175" s="23" t="s">
        <v>216</v>
      </c>
      <c r="B175" s="6" t="s">
        <v>8</v>
      </c>
      <c r="C175" s="6">
        <v>75</v>
      </c>
      <c r="D175" s="13" t="s">
        <v>31</v>
      </c>
      <c r="E175" s="14">
        <v>44989</v>
      </c>
      <c r="F175" s="6">
        <v>40</v>
      </c>
      <c r="G175" s="24">
        <v>3.4</v>
      </c>
      <c r="H175">
        <f>IF(MONTH(Table13[[#This Row],[Date of Call]])&lt;6, YEAR(Table13[[#This Row],[Date of Call]]),YEAR(Table13[[#This Row],[Date of Call]])+1)</f>
        <v>2023</v>
      </c>
      <c r="I175" t="str">
        <f>TEXT(Table13[[#This Row],[Date of Call]],"dddd")</f>
        <v>Saturday</v>
      </c>
      <c r="J1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5">
        <f>ROUND(Table13[[#This Row],[Satisfaction Rating]],0)</f>
        <v>3</v>
      </c>
    </row>
    <row r="176" spans="1:11" x14ac:dyDescent="0.3">
      <c r="A176" s="23" t="s">
        <v>217</v>
      </c>
      <c r="B176" s="6" t="s">
        <v>13</v>
      </c>
      <c r="C176" s="6">
        <v>40</v>
      </c>
      <c r="D176" s="13" t="s">
        <v>30</v>
      </c>
      <c r="E176" s="14">
        <v>44990</v>
      </c>
      <c r="F176" s="6">
        <v>92</v>
      </c>
      <c r="G176" s="24">
        <v>4.7</v>
      </c>
      <c r="H176">
        <f>IF(MONTH(Table13[[#This Row],[Date of Call]])&lt;6, YEAR(Table13[[#This Row],[Date of Call]]),YEAR(Table13[[#This Row],[Date of Call]])+1)</f>
        <v>2023</v>
      </c>
      <c r="I176" t="str">
        <f>TEXT(Table13[[#This Row],[Date of Call]],"dddd")</f>
        <v>Sunday</v>
      </c>
      <c r="J1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76">
        <f>ROUND(Table13[[#This Row],[Satisfaction Rating]],0)</f>
        <v>5</v>
      </c>
    </row>
    <row r="177" spans="1:11" x14ac:dyDescent="0.3">
      <c r="A177" s="23" t="s">
        <v>218</v>
      </c>
      <c r="B177" s="6" t="s">
        <v>5</v>
      </c>
      <c r="C177" s="6">
        <v>86</v>
      </c>
      <c r="D177" s="13" t="s">
        <v>29</v>
      </c>
      <c r="E177" s="14">
        <v>44990</v>
      </c>
      <c r="F177" s="6">
        <v>27</v>
      </c>
      <c r="G177" s="24">
        <v>4.5</v>
      </c>
      <c r="H177">
        <f>IF(MONTH(Table13[[#This Row],[Date of Call]])&lt;6, YEAR(Table13[[#This Row],[Date of Call]]),YEAR(Table13[[#This Row],[Date of Call]])+1)</f>
        <v>2023</v>
      </c>
      <c r="I177" t="str">
        <f>TEXT(Table13[[#This Row],[Date of Call]],"dddd")</f>
        <v>Sunday</v>
      </c>
      <c r="J1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7">
        <f>ROUND(Table13[[#This Row],[Satisfaction Rating]],0)</f>
        <v>5</v>
      </c>
    </row>
    <row r="178" spans="1:11" x14ac:dyDescent="0.3">
      <c r="A178" s="23" t="s">
        <v>219</v>
      </c>
      <c r="B178" s="6" t="s">
        <v>10</v>
      </c>
      <c r="C178" s="6">
        <v>131</v>
      </c>
      <c r="D178" s="13" t="s">
        <v>32</v>
      </c>
      <c r="E178" s="14">
        <v>44990</v>
      </c>
      <c r="F178" s="6">
        <v>140</v>
      </c>
      <c r="G178" s="24">
        <v>4.0999999999999996</v>
      </c>
      <c r="H178">
        <f>IF(MONTH(Table13[[#This Row],[Date of Call]])&lt;6, YEAR(Table13[[#This Row],[Date of Call]]),YEAR(Table13[[#This Row],[Date of Call]])+1)</f>
        <v>2023</v>
      </c>
      <c r="I178" t="str">
        <f>TEXT(Table13[[#This Row],[Date of Call]],"dddd")</f>
        <v>Sunday</v>
      </c>
      <c r="J1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78">
        <f>ROUND(Table13[[#This Row],[Satisfaction Rating]],0)</f>
        <v>4</v>
      </c>
    </row>
    <row r="179" spans="1:11" x14ac:dyDescent="0.3">
      <c r="A179" s="23" t="s">
        <v>220</v>
      </c>
      <c r="B179" s="6" t="s">
        <v>15</v>
      </c>
      <c r="C179" s="6">
        <v>67</v>
      </c>
      <c r="D179" s="13" t="s">
        <v>28</v>
      </c>
      <c r="E179" s="14">
        <v>44990</v>
      </c>
      <c r="F179" s="6">
        <v>40</v>
      </c>
      <c r="G179" s="24">
        <v>5</v>
      </c>
      <c r="H179">
        <f>IF(MONTH(Table13[[#This Row],[Date of Call]])&lt;6, YEAR(Table13[[#This Row],[Date of Call]]),YEAR(Table13[[#This Row],[Date of Call]])+1)</f>
        <v>2023</v>
      </c>
      <c r="I179" t="str">
        <f>TEXT(Table13[[#This Row],[Date of Call]],"dddd")</f>
        <v>Sunday</v>
      </c>
      <c r="J1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79">
        <f>ROUND(Table13[[#This Row],[Satisfaction Rating]],0)</f>
        <v>5</v>
      </c>
    </row>
    <row r="180" spans="1:11" x14ac:dyDescent="0.3">
      <c r="A180" s="23" t="s">
        <v>221</v>
      </c>
      <c r="B180" s="6" t="s">
        <v>11</v>
      </c>
      <c r="C180" s="6">
        <v>71</v>
      </c>
      <c r="D180" s="13" t="s">
        <v>30</v>
      </c>
      <c r="E180" s="14">
        <v>44990</v>
      </c>
      <c r="F180" s="6">
        <v>102</v>
      </c>
      <c r="G180" s="24">
        <v>4.7</v>
      </c>
      <c r="H180">
        <f>IF(MONTH(Table13[[#This Row],[Date of Call]])&lt;6, YEAR(Table13[[#This Row],[Date of Call]]),YEAR(Table13[[#This Row],[Date of Call]])+1)</f>
        <v>2023</v>
      </c>
      <c r="I180" t="str">
        <f>TEXT(Table13[[#This Row],[Date of Call]],"dddd")</f>
        <v>Sunday</v>
      </c>
      <c r="J1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0">
        <f>ROUND(Table13[[#This Row],[Satisfaction Rating]],0)</f>
        <v>5</v>
      </c>
    </row>
    <row r="181" spans="1:11" x14ac:dyDescent="0.3">
      <c r="A181" s="23" t="s">
        <v>222</v>
      </c>
      <c r="B181" s="6" t="s">
        <v>10</v>
      </c>
      <c r="C181" s="6">
        <v>113</v>
      </c>
      <c r="D181" s="13" t="s">
        <v>32</v>
      </c>
      <c r="E181" s="14">
        <v>44990</v>
      </c>
      <c r="F181" s="6">
        <v>42</v>
      </c>
      <c r="G181" s="24">
        <v>4.2</v>
      </c>
      <c r="H181">
        <f>IF(MONTH(Table13[[#This Row],[Date of Call]])&lt;6, YEAR(Table13[[#This Row],[Date of Call]]),YEAR(Table13[[#This Row],[Date of Call]])+1)</f>
        <v>2023</v>
      </c>
      <c r="I181" t="str">
        <f>TEXT(Table13[[#This Row],[Date of Call]],"dddd")</f>
        <v>Sunday</v>
      </c>
      <c r="J1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1">
        <f>ROUND(Table13[[#This Row],[Satisfaction Rating]],0)</f>
        <v>4</v>
      </c>
    </row>
    <row r="182" spans="1:11" x14ac:dyDescent="0.3">
      <c r="A182" s="23" t="s">
        <v>223</v>
      </c>
      <c r="B182" s="6" t="s">
        <v>9</v>
      </c>
      <c r="C182" s="6">
        <v>53</v>
      </c>
      <c r="D182" s="13" t="s">
        <v>29</v>
      </c>
      <c r="E182" s="14">
        <v>44991</v>
      </c>
      <c r="F182" s="6">
        <v>210</v>
      </c>
      <c r="G182" s="24">
        <v>3.9</v>
      </c>
      <c r="H182">
        <f>IF(MONTH(Table13[[#This Row],[Date of Call]])&lt;6, YEAR(Table13[[#This Row],[Date of Call]]),YEAR(Table13[[#This Row],[Date of Call]])+1)</f>
        <v>2023</v>
      </c>
      <c r="I182" t="str">
        <f>TEXT(Table13[[#This Row],[Date of Call]],"dddd")</f>
        <v>Monday</v>
      </c>
      <c r="J1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82">
        <f>ROUND(Table13[[#This Row],[Satisfaction Rating]],0)</f>
        <v>4</v>
      </c>
    </row>
    <row r="183" spans="1:11" x14ac:dyDescent="0.3">
      <c r="A183" s="23" t="s">
        <v>224</v>
      </c>
      <c r="B183" s="6" t="s">
        <v>10</v>
      </c>
      <c r="C183" s="6">
        <v>153</v>
      </c>
      <c r="D183" s="13" t="s">
        <v>28</v>
      </c>
      <c r="E183" s="14">
        <v>44991</v>
      </c>
      <c r="F183" s="6">
        <v>34</v>
      </c>
      <c r="G183" s="24">
        <v>3</v>
      </c>
      <c r="H183">
        <f>IF(MONTH(Table13[[#This Row],[Date of Call]])&lt;6, YEAR(Table13[[#This Row],[Date of Call]]),YEAR(Table13[[#This Row],[Date of Call]])+1)</f>
        <v>2023</v>
      </c>
      <c r="I183" t="str">
        <f>TEXT(Table13[[#This Row],[Date of Call]],"dddd")</f>
        <v>Monday</v>
      </c>
      <c r="J1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83">
        <f>ROUND(Table13[[#This Row],[Satisfaction Rating]],0)</f>
        <v>3</v>
      </c>
    </row>
    <row r="184" spans="1:11" x14ac:dyDescent="0.3">
      <c r="A184" s="23" t="s">
        <v>225</v>
      </c>
      <c r="B184" s="6" t="s">
        <v>15</v>
      </c>
      <c r="C184" s="6">
        <v>73</v>
      </c>
      <c r="D184" s="13" t="s">
        <v>31</v>
      </c>
      <c r="E184" s="14">
        <v>44991</v>
      </c>
      <c r="F184" s="6">
        <v>215</v>
      </c>
      <c r="G184" s="24">
        <v>3.6</v>
      </c>
      <c r="H184">
        <f>IF(MONTH(Table13[[#This Row],[Date of Call]])&lt;6, YEAR(Table13[[#This Row],[Date of Call]]),YEAR(Table13[[#This Row],[Date of Call]])+1)</f>
        <v>2023</v>
      </c>
      <c r="I184" t="str">
        <f>TEXT(Table13[[#This Row],[Date of Call]],"dddd")</f>
        <v>Monday</v>
      </c>
      <c r="J1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4">
        <f>ROUND(Table13[[#This Row],[Satisfaction Rating]],0)</f>
        <v>4</v>
      </c>
    </row>
    <row r="185" spans="1:11" x14ac:dyDescent="0.3">
      <c r="A185" s="23" t="s">
        <v>226</v>
      </c>
      <c r="B185" s="6" t="s">
        <v>12</v>
      </c>
      <c r="C185" s="6">
        <v>62</v>
      </c>
      <c r="D185" s="13" t="s">
        <v>31</v>
      </c>
      <c r="E185" s="14">
        <v>44991</v>
      </c>
      <c r="F185" s="6">
        <v>32</v>
      </c>
      <c r="G185" s="24">
        <v>0.7</v>
      </c>
      <c r="H185">
        <f>IF(MONTH(Table13[[#This Row],[Date of Call]])&lt;6, YEAR(Table13[[#This Row],[Date of Call]]),YEAR(Table13[[#This Row],[Date of Call]])+1)</f>
        <v>2023</v>
      </c>
      <c r="I185" t="str">
        <f>TEXT(Table13[[#This Row],[Date of Call]],"dddd")</f>
        <v>Monday</v>
      </c>
      <c r="J1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5">
        <f>ROUND(Table13[[#This Row],[Satisfaction Rating]],0)</f>
        <v>1</v>
      </c>
    </row>
    <row r="186" spans="1:11" x14ac:dyDescent="0.3">
      <c r="A186" s="23" t="s">
        <v>227</v>
      </c>
      <c r="B186" s="6" t="s">
        <v>14</v>
      </c>
      <c r="C186" s="6">
        <v>115</v>
      </c>
      <c r="D186" s="13" t="s">
        <v>29</v>
      </c>
      <c r="E186" s="14">
        <v>44992</v>
      </c>
      <c r="F186" s="6">
        <v>48</v>
      </c>
      <c r="G186" s="24">
        <v>4.7</v>
      </c>
      <c r="H186">
        <f>IF(MONTH(Table13[[#This Row],[Date of Call]])&lt;6, YEAR(Table13[[#This Row],[Date of Call]]),YEAR(Table13[[#This Row],[Date of Call]])+1)</f>
        <v>2023</v>
      </c>
      <c r="I186" t="str">
        <f>TEXT(Table13[[#This Row],[Date of Call]],"dddd")</f>
        <v>Tuesday</v>
      </c>
      <c r="J1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6">
        <f>ROUND(Table13[[#This Row],[Satisfaction Rating]],0)</f>
        <v>5</v>
      </c>
    </row>
    <row r="187" spans="1:11" x14ac:dyDescent="0.3">
      <c r="A187" s="23" t="s">
        <v>228</v>
      </c>
      <c r="B187" s="6" t="s">
        <v>10</v>
      </c>
      <c r="C187" s="6">
        <v>69</v>
      </c>
      <c r="D187" s="13" t="s">
        <v>29</v>
      </c>
      <c r="E187" s="14">
        <v>44992</v>
      </c>
      <c r="F187" s="6">
        <v>132</v>
      </c>
      <c r="G187" s="24">
        <v>4.5</v>
      </c>
      <c r="H187">
        <f>IF(MONTH(Table13[[#This Row],[Date of Call]])&lt;6, YEAR(Table13[[#This Row],[Date of Call]]),YEAR(Table13[[#This Row],[Date of Call]])+1)</f>
        <v>2023</v>
      </c>
      <c r="I187" t="str">
        <f>TEXT(Table13[[#This Row],[Date of Call]],"dddd")</f>
        <v>Tuesday</v>
      </c>
      <c r="J1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7">
        <f>ROUND(Table13[[#This Row],[Satisfaction Rating]],0)</f>
        <v>5</v>
      </c>
    </row>
    <row r="188" spans="1:11" x14ac:dyDescent="0.3">
      <c r="A188" s="23" t="s">
        <v>229</v>
      </c>
      <c r="B188" s="6" t="s">
        <v>5</v>
      </c>
      <c r="C188" s="6">
        <v>103</v>
      </c>
      <c r="D188" s="13" t="s">
        <v>32</v>
      </c>
      <c r="E188" s="14">
        <v>44992</v>
      </c>
      <c r="F188" s="6">
        <v>172</v>
      </c>
      <c r="G188" s="24">
        <v>4.3</v>
      </c>
      <c r="H188">
        <f>IF(MONTH(Table13[[#This Row],[Date of Call]])&lt;6, YEAR(Table13[[#This Row],[Date of Call]]),YEAR(Table13[[#This Row],[Date of Call]])+1)</f>
        <v>2023</v>
      </c>
      <c r="I188" t="str">
        <f>TEXT(Table13[[#This Row],[Date of Call]],"dddd")</f>
        <v>Tuesday</v>
      </c>
      <c r="J1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8">
        <f>ROUND(Table13[[#This Row],[Satisfaction Rating]],0)</f>
        <v>4</v>
      </c>
    </row>
    <row r="189" spans="1:11" x14ac:dyDescent="0.3">
      <c r="A189" s="23" t="s">
        <v>230</v>
      </c>
      <c r="B189" s="6" t="s">
        <v>5</v>
      </c>
      <c r="C189" s="6">
        <v>75</v>
      </c>
      <c r="D189" s="13" t="s">
        <v>32</v>
      </c>
      <c r="E189" s="14">
        <v>44992</v>
      </c>
      <c r="F189" s="6">
        <v>111</v>
      </c>
      <c r="G189" s="24">
        <v>3.4</v>
      </c>
      <c r="H189">
        <f>IF(MONTH(Table13[[#This Row],[Date of Call]])&lt;6, YEAR(Table13[[#This Row],[Date of Call]]),YEAR(Table13[[#This Row],[Date of Call]])+1)</f>
        <v>2023</v>
      </c>
      <c r="I189" t="str">
        <f>TEXT(Table13[[#This Row],[Date of Call]],"dddd")</f>
        <v>Tuesday</v>
      </c>
      <c r="J1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89">
        <f>ROUND(Table13[[#This Row],[Satisfaction Rating]],0)</f>
        <v>3</v>
      </c>
    </row>
    <row r="190" spans="1:11" x14ac:dyDescent="0.3">
      <c r="A190" s="23" t="s">
        <v>231</v>
      </c>
      <c r="B190" s="6" t="s">
        <v>16</v>
      </c>
      <c r="C190" s="6">
        <v>92</v>
      </c>
      <c r="D190" s="13" t="s">
        <v>32</v>
      </c>
      <c r="E190" s="14">
        <v>44992</v>
      </c>
      <c r="F190" s="6">
        <v>58</v>
      </c>
      <c r="G190" s="24">
        <v>3.6</v>
      </c>
      <c r="H190">
        <f>IF(MONTH(Table13[[#This Row],[Date of Call]])&lt;6, YEAR(Table13[[#This Row],[Date of Call]]),YEAR(Table13[[#This Row],[Date of Call]])+1)</f>
        <v>2023</v>
      </c>
      <c r="I190" t="str">
        <f>TEXT(Table13[[#This Row],[Date of Call]],"dddd")</f>
        <v>Tuesday</v>
      </c>
      <c r="J1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90">
        <f>ROUND(Table13[[#This Row],[Satisfaction Rating]],0)</f>
        <v>4</v>
      </c>
    </row>
    <row r="191" spans="1:11" x14ac:dyDescent="0.3">
      <c r="A191" s="23" t="s">
        <v>232</v>
      </c>
      <c r="B191" s="6" t="s">
        <v>16</v>
      </c>
      <c r="C191" s="6">
        <v>41</v>
      </c>
      <c r="D191" s="13" t="s">
        <v>31</v>
      </c>
      <c r="E191" s="14">
        <v>44992</v>
      </c>
      <c r="F191" s="6">
        <v>68</v>
      </c>
      <c r="G191" s="24">
        <v>4</v>
      </c>
      <c r="H191">
        <f>IF(MONTH(Table13[[#This Row],[Date of Call]])&lt;6, YEAR(Table13[[#This Row],[Date of Call]]),YEAR(Table13[[#This Row],[Date of Call]])+1)</f>
        <v>2023</v>
      </c>
      <c r="I191" t="str">
        <f>TEXT(Table13[[#This Row],[Date of Call]],"dddd")</f>
        <v>Tuesday</v>
      </c>
      <c r="J1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191">
        <f>ROUND(Table13[[#This Row],[Satisfaction Rating]],0)</f>
        <v>4</v>
      </c>
    </row>
    <row r="192" spans="1:11" x14ac:dyDescent="0.3">
      <c r="A192" s="23" t="s">
        <v>233</v>
      </c>
      <c r="B192" s="6" t="s">
        <v>5</v>
      </c>
      <c r="C192" s="6">
        <v>134</v>
      </c>
      <c r="D192" s="13" t="s">
        <v>28</v>
      </c>
      <c r="E192" s="14">
        <v>44992</v>
      </c>
      <c r="F192" s="6">
        <v>160</v>
      </c>
      <c r="G192" s="24">
        <v>4.5</v>
      </c>
      <c r="H192">
        <f>IF(MONTH(Table13[[#This Row],[Date of Call]])&lt;6, YEAR(Table13[[#This Row],[Date of Call]]),YEAR(Table13[[#This Row],[Date of Call]])+1)</f>
        <v>2023</v>
      </c>
      <c r="I192" t="str">
        <f>TEXT(Table13[[#This Row],[Date of Call]],"dddd")</f>
        <v>Tuesday</v>
      </c>
      <c r="J1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92">
        <f>ROUND(Table13[[#This Row],[Satisfaction Rating]],0)</f>
        <v>5</v>
      </c>
    </row>
    <row r="193" spans="1:11" x14ac:dyDescent="0.3">
      <c r="A193" s="23" t="s">
        <v>234</v>
      </c>
      <c r="B193" s="6" t="s">
        <v>4</v>
      </c>
      <c r="C193" s="6">
        <v>80</v>
      </c>
      <c r="D193" s="13" t="s">
        <v>30</v>
      </c>
      <c r="E193" s="14">
        <v>44992</v>
      </c>
      <c r="F193" s="6">
        <v>45</v>
      </c>
      <c r="G193" s="24">
        <v>3</v>
      </c>
      <c r="H193">
        <f>IF(MONTH(Table13[[#This Row],[Date of Call]])&lt;6, YEAR(Table13[[#This Row],[Date of Call]]),YEAR(Table13[[#This Row],[Date of Call]])+1)</f>
        <v>2023</v>
      </c>
      <c r="I193" t="str">
        <f>TEXT(Table13[[#This Row],[Date of Call]],"dddd")</f>
        <v>Tuesday</v>
      </c>
      <c r="J1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93">
        <f>ROUND(Table13[[#This Row],[Satisfaction Rating]],0)</f>
        <v>3</v>
      </c>
    </row>
    <row r="194" spans="1:11" x14ac:dyDescent="0.3">
      <c r="A194" s="23" t="s">
        <v>235</v>
      </c>
      <c r="B194" s="6" t="s">
        <v>11</v>
      </c>
      <c r="C194" s="6">
        <v>103</v>
      </c>
      <c r="D194" s="13" t="s">
        <v>29</v>
      </c>
      <c r="E194" s="14">
        <v>44993</v>
      </c>
      <c r="F194" s="6">
        <v>117</v>
      </c>
      <c r="G194" s="24">
        <v>3</v>
      </c>
      <c r="H194">
        <f>IF(MONTH(Table13[[#This Row],[Date of Call]])&lt;6, YEAR(Table13[[#This Row],[Date of Call]]),YEAR(Table13[[#This Row],[Date of Call]])+1)</f>
        <v>2023</v>
      </c>
      <c r="I194" t="str">
        <f>TEXT(Table13[[#This Row],[Date of Call]],"dddd")</f>
        <v>Wednesday</v>
      </c>
      <c r="J1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94">
        <f>ROUND(Table13[[#This Row],[Satisfaction Rating]],0)</f>
        <v>3</v>
      </c>
    </row>
    <row r="195" spans="1:11" x14ac:dyDescent="0.3">
      <c r="A195" s="23" t="s">
        <v>236</v>
      </c>
      <c r="B195" s="6" t="s">
        <v>9</v>
      </c>
      <c r="C195" s="6">
        <v>20</v>
      </c>
      <c r="D195" s="13" t="s">
        <v>32</v>
      </c>
      <c r="E195" s="14">
        <v>44994</v>
      </c>
      <c r="F195" s="6">
        <v>22</v>
      </c>
      <c r="G195" s="24">
        <v>1.6</v>
      </c>
      <c r="H195">
        <f>IF(MONTH(Table13[[#This Row],[Date of Call]])&lt;6, YEAR(Table13[[#This Row],[Date of Call]]),YEAR(Table13[[#This Row],[Date of Call]])+1)</f>
        <v>2023</v>
      </c>
      <c r="I195" t="str">
        <f>TEXT(Table13[[#This Row],[Date of Call]],"dddd")</f>
        <v>Thursday</v>
      </c>
      <c r="J1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195">
        <f>ROUND(Table13[[#This Row],[Satisfaction Rating]],0)</f>
        <v>2</v>
      </c>
    </row>
    <row r="196" spans="1:11" x14ac:dyDescent="0.3">
      <c r="A196" s="23" t="s">
        <v>237</v>
      </c>
      <c r="B196" s="6" t="s">
        <v>11</v>
      </c>
      <c r="C196" s="6">
        <v>75</v>
      </c>
      <c r="D196" s="13" t="s">
        <v>30</v>
      </c>
      <c r="E196" s="14">
        <v>44994</v>
      </c>
      <c r="F196" s="6">
        <v>195</v>
      </c>
      <c r="G196" s="24">
        <v>3</v>
      </c>
      <c r="H196">
        <f>IF(MONTH(Table13[[#This Row],[Date of Call]])&lt;6, YEAR(Table13[[#This Row],[Date of Call]]),YEAR(Table13[[#This Row],[Date of Call]])+1)</f>
        <v>2023</v>
      </c>
      <c r="I196" t="str">
        <f>TEXT(Table13[[#This Row],[Date of Call]],"dddd")</f>
        <v>Thursday</v>
      </c>
      <c r="J1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96">
        <f>ROUND(Table13[[#This Row],[Satisfaction Rating]],0)</f>
        <v>3</v>
      </c>
    </row>
    <row r="197" spans="1:11" x14ac:dyDescent="0.3">
      <c r="A197" s="23" t="s">
        <v>238</v>
      </c>
      <c r="B197" s="6" t="s">
        <v>16</v>
      </c>
      <c r="C197" s="6">
        <v>80</v>
      </c>
      <c r="D197" s="13" t="s">
        <v>28</v>
      </c>
      <c r="E197" s="14">
        <v>44994</v>
      </c>
      <c r="F197" s="6">
        <v>168</v>
      </c>
      <c r="G197" s="24">
        <v>3.7</v>
      </c>
      <c r="H197">
        <f>IF(MONTH(Table13[[#This Row],[Date of Call]])&lt;6, YEAR(Table13[[#This Row],[Date of Call]]),YEAR(Table13[[#This Row],[Date of Call]])+1)</f>
        <v>2023</v>
      </c>
      <c r="I197" t="str">
        <f>TEXT(Table13[[#This Row],[Date of Call]],"dddd")</f>
        <v>Thursday</v>
      </c>
      <c r="J1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97">
        <f>ROUND(Table13[[#This Row],[Satisfaction Rating]],0)</f>
        <v>4</v>
      </c>
    </row>
    <row r="198" spans="1:11" x14ac:dyDescent="0.3">
      <c r="A198" s="23" t="s">
        <v>239</v>
      </c>
      <c r="B198" s="6" t="s">
        <v>10</v>
      </c>
      <c r="C198" s="6">
        <v>85</v>
      </c>
      <c r="D198" s="13" t="s">
        <v>31</v>
      </c>
      <c r="E198" s="14">
        <v>44995</v>
      </c>
      <c r="F198" s="6">
        <v>46</v>
      </c>
      <c r="G198" s="24">
        <v>4.9000000000000004</v>
      </c>
      <c r="H198">
        <f>IF(MONTH(Table13[[#This Row],[Date of Call]])&lt;6, YEAR(Table13[[#This Row],[Date of Call]]),YEAR(Table13[[#This Row],[Date of Call]])+1)</f>
        <v>2023</v>
      </c>
      <c r="I198" t="str">
        <f>TEXT(Table13[[#This Row],[Date of Call]],"dddd")</f>
        <v>Friday</v>
      </c>
      <c r="J1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98">
        <f>ROUND(Table13[[#This Row],[Satisfaction Rating]],0)</f>
        <v>5</v>
      </c>
    </row>
    <row r="199" spans="1:11" x14ac:dyDescent="0.3">
      <c r="A199" s="23" t="s">
        <v>240</v>
      </c>
      <c r="B199" s="6" t="s">
        <v>7</v>
      </c>
      <c r="C199" s="6">
        <v>155</v>
      </c>
      <c r="D199" s="13" t="s">
        <v>32</v>
      </c>
      <c r="E199" s="14">
        <v>44995</v>
      </c>
      <c r="F199" s="6">
        <v>164</v>
      </c>
      <c r="G199" s="24">
        <v>3.4</v>
      </c>
      <c r="H199">
        <f>IF(MONTH(Table13[[#This Row],[Date of Call]])&lt;6, YEAR(Table13[[#This Row],[Date of Call]]),YEAR(Table13[[#This Row],[Date of Call]])+1)</f>
        <v>2023</v>
      </c>
      <c r="I199" t="str">
        <f>TEXT(Table13[[#This Row],[Date of Call]],"dddd")</f>
        <v>Friday</v>
      </c>
      <c r="J1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99">
        <f>ROUND(Table13[[#This Row],[Satisfaction Rating]],0)</f>
        <v>3</v>
      </c>
    </row>
    <row r="200" spans="1:11" x14ac:dyDescent="0.3">
      <c r="A200" s="23" t="s">
        <v>241</v>
      </c>
      <c r="B200" s="6" t="s">
        <v>10</v>
      </c>
      <c r="C200" s="6">
        <v>63</v>
      </c>
      <c r="D200" s="13" t="s">
        <v>31</v>
      </c>
      <c r="E200" s="14">
        <v>44995</v>
      </c>
      <c r="F200" s="6">
        <v>48</v>
      </c>
      <c r="G200" s="24">
        <v>5</v>
      </c>
      <c r="H200">
        <f>IF(MONTH(Table13[[#This Row],[Date of Call]])&lt;6, YEAR(Table13[[#This Row],[Date of Call]]),YEAR(Table13[[#This Row],[Date of Call]])+1)</f>
        <v>2023</v>
      </c>
      <c r="I200" t="str">
        <f>TEXT(Table13[[#This Row],[Date of Call]],"dddd")</f>
        <v>Friday</v>
      </c>
      <c r="J2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0">
        <f>ROUND(Table13[[#This Row],[Satisfaction Rating]],0)</f>
        <v>5</v>
      </c>
    </row>
    <row r="201" spans="1:11" x14ac:dyDescent="0.3">
      <c r="A201" s="23" t="s">
        <v>242</v>
      </c>
      <c r="B201" s="6" t="s">
        <v>8</v>
      </c>
      <c r="C201" s="6">
        <v>105</v>
      </c>
      <c r="D201" s="13" t="s">
        <v>29</v>
      </c>
      <c r="E201" s="14">
        <v>44995</v>
      </c>
      <c r="F201" s="6">
        <v>96</v>
      </c>
      <c r="G201" s="24">
        <v>5</v>
      </c>
      <c r="H201">
        <f>IF(MONTH(Table13[[#This Row],[Date of Call]])&lt;6, YEAR(Table13[[#This Row],[Date of Call]]),YEAR(Table13[[#This Row],[Date of Call]])+1)</f>
        <v>2023</v>
      </c>
      <c r="I201" t="str">
        <f>TEXT(Table13[[#This Row],[Date of Call]],"dddd")</f>
        <v>Friday</v>
      </c>
      <c r="J2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1">
        <f>ROUND(Table13[[#This Row],[Satisfaction Rating]],0)</f>
        <v>5</v>
      </c>
    </row>
    <row r="202" spans="1:11" x14ac:dyDescent="0.3">
      <c r="A202" s="23" t="s">
        <v>243</v>
      </c>
      <c r="B202" s="6" t="s">
        <v>10</v>
      </c>
      <c r="C202" s="6">
        <v>71</v>
      </c>
      <c r="D202" s="13" t="s">
        <v>31</v>
      </c>
      <c r="E202" s="14">
        <v>44995</v>
      </c>
      <c r="F202" s="6">
        <v>105</v>
      </c>
      <c r="G202" s="24">
        <v>4</v>
      </c>
      <c r="H202">
        <f>IF(MONTH(Table13[[#This Row],[Date of Call]])&lt;6, YEAR(Table13[[#This Row],[Date of Call]]),YEAR(Table13[[#This Row],[Date of Call]])+1)</f>
        <v>2023</v>
      </c>
      <c r="I202" t="str">
        <f>TEXT(Table13[[#This Row],[Date of Call]],"dddd")</f>
        <v>Friday</v>
      </c>
      <c r="J2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2">
        <f>ROUND(Table13[[#This Row],[Satisfaction Rating]],0)</f>
        <v>4</v>
      </c>
    </row>
    <row r="203" spans="1:11" x14ac:dyDescent="0.3">
      <c r="A203" s="23" t="s">
        <v>244</v>
      </c>
      <c r="B203" s="6" t="s">
        <v>7</v>
      </c>
      <c r="C203" s="6">
        <v>100</v>
      </c>
      <c r="D203" s="13" t="s">
        <v>31</v>
      </c>
      <c r="E203" s="14">
        <v>44996</v>
      </c>
      <c r="F203" s="6">
        <v>44</v>
      </c>
      <c r="G203" s="24">
        <v>3.6</v>
      </c>
      <c r="H203">
        <f>IF(MONTH(Table13[[#This Row],[Date of Call]])&lt;6, YEAR(Table13[[#This Row],[Date of Call]]),YEAR(Table13[[#This Row],[Date of Call]])+1)</f>
        <v>2023</v>
      </c>
      <c r="I203" t="str">
        <f>TEXT(Table13[[#This Row],[Date of Call]],"dddd")</f>
        <v>Saturday</v>
      </c>
      <c r="J2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3">
        <f>ROUND(Table13[[#This Row],[Satisfaction Rating]],0)</f>
        <v>4</v>
      </c>
    </row>
    <row r="204" spans="1:11" x14ac:dyDescent="0.3">
      <c r="A204" s="23" t="s">
        <v>245</v>
      </c>
      <c r="B204" s="6" t="s">
        <v>6</v>
      </c>
      <c r="C204" s="6">
        <v>93</v>
      </c>
      <c r="D204" s="13" t="s">
        <v>28</v>
      </c>
      <c r="E204" s="14">
        <v>44996</v>
      </c>
      <c r="F204" s="6">
        <v>132</v>
      </c>
      <c r="G204" s="24">
        <v>3.7</v>
      </c>
      <c r="H204">
        <f>IF(MONTH(Table13[[#This Row],[Date of Call]])&lt;6, YEAR(Table13[[#This Row],[Date of Call]]),YEAR(Table13[[#This Row],[Date of Call]])+1)</f>
        <v>2023</v>
      </c>
      <c r="I204" t="str">
        <f>TEXT(Table13[[#This Row],[Date of Call]],"dddd")</f>
        <v>Saturday</v>
      </c>
      <c r="J2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4">
        <f>ROUND(Table13[[#This Row],[Satisfaction Rating]],0)</f>
        <v>4</v>
      </c>
    </row>
    <row r="205" spans="1:11" x14ac:dyDescent="0.3">
      <c r="A205" s="23" t="s">
        <v>246</v>
      </c>
      <c r="B205" s="6" t="s">
        <v>8</v>
      </c>
      <c r="C205" s="6">
        <v>84</v>
      </c>
      <c r="D205" s="13" t="s">
        <v>32</v>
      </c>
      <c r="E205" s="14">
        <v>44996</v>
      </c>
      <c r="F205" s="6">
        <v>54</v>
      </c>
      <c r="G205" s="24">
        <v>4.2</v>
      </c>
      <c r="H205">
        <f>IF(MONTH(Table13[[#This Row],[Date of Call]])&lt;6, YEAR(Table13[[#This Row],[Date of Call]]),YEAR(Table13[[#This Row],[Date of Call]])+1)</f>
        <v>2023</v>
      </c>
      <c r="I205" t="str">
        <f>TEXT(Table13[[#This Row],[Date of Call]],"dddd")</f>
        <v>Saturday</v>
      </c>
      <c r="J2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5">
        <f>ROUND(Table13[[#This Row],[Satisfaction Rating]],0)</f>
        <v>4</v>
      </c>
    </row>
    <row r="206" spans="1:11" x14ac:dyDescent="0.3">
      <c r="A206" s="23" t="s">
        <v>247</v>
      </c>
      <c r="B206" s="6" t="s">
        <v>4</v>
      </c>
      <c r="C206" s="6">
        <v>56</v>
      </c>
      <c r="D206" s="13" t="s">
        <v>30</v>
      </c>
      <c r="E206" s="14">
        <v>44996</v>
      </c>
      <c r="F206" s="6">
        <v>129</v>
      </c>
      <c r="G206" s="24">
        <v>2.1</v>
      </c>
      <c r="H206">
        <f>IF(MONTH(Table13[[#This Row],[Date of Call]])&lt;6, YEAR(Table13[[#This Row],[Date of Call]]),YEAR(Table13[[#This Row],[Date of Call]])+1)</f>
        <v>2023</v>
      </c>
      <c r="I206" t="str">
        <f>TEXT(Table13[[#This Row],[Date of Call]],"dddd")</f>
        <v>Saturday</v>
      </c>
      <c r="J2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06">
        <f>ROUND(Table13[[#This Row],[Satisfaction Rating]],0)</f>
        <v>2</v>
      </c>
    </row>
    <row r="207" spans="1:11" x14ac:dyDescent="0.3">
      <c r="A207" s="23" t="s">
        <v>248</v>
      </c>
      <c r="B207" s="6" t="s">
        <v>4</v>
      </c>
      <c r="C207" s="6">
        <v>63</v>
      </c>
      <c r="D207" s="13" t="s">
        <v>31</v>
      </c>
      <c r="E207" s="14">
        <v>44996</v>
      </c>
      <c r="F207" s="6">
        <v>42</v>
      </c>
      <c r="G207" s="24">
        <v>4</v>
      </c>
      <c r="H207">
        <f>IF(MONTH(Table13[[#This Row],[Date of Call]])&lt;6, YEAR(Table13[[#This Row],[Date of Call]]),YEAR(Table13[[#This Row],[Date of Call]])+1)</f>
        <v>2023</v>
      </c>
      <c r="I207" t="str">
        <f>TEXT(Table13[[#This Row],[Date of Call]],"dddd")</f>
        <v>Saturday</v>
      </c>
      <c r="J2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7">
        <f>ROUND(Table13[[#This Row],[Satisfaction Rating]],0)</f>
        <v>4</v>
      </c>
    </row>
    <row r="208" spans="1:11" x14ac:dyDescent="0.3">
      <c r="A208" s="23" t="s">
        <v>249</v>
      </c>
      <c r="B208" s="6" t="s">
        <v>12</v>
      </c>
      <c r="C208" s="6">
        <v>83</v>
      </c>
      <c r="D208" s="13" t="s">
        <v>31</v>
      </c>
      <c r="E208" s="14">
        <v>44996</v>
      </c>
      <c r="F208" s="6">
        <v>42</v>
      </c>
      <c r="G208" s="24">
        <v>4.2</v>
      </c>
      <c r="H208">
        <f>IF(MONTH(Table13[[#This Row],[Date of Call]])&lt;6, YEAR(Table13[[#This Row],[Date of Call]]),YEAR(Table13[[#This Row],[Date of Call]])+1)</f>
        <v>2023</v>
      </c>
      <c r="I208" t="str">
        <f>TEXT(Table13[[#This Row],[Date of Call]],"dddd")</f>
        <v>Saturday</v>
      </c>
      <c r="J2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08">
        <f>ROUND(Table13[[#This Row],[Satisfaction Rating]],0)</f>
        <v>4</v>
      </c>
    </row>
    <row r="209" spans="1:11" x14ac:dyDescent="0.3">
      <c r="A209" s="23" t="s">
        <v>250</v>
      </c>
      <c r="B209" s="6" t="s">
        <v>16</v>
      </c>
      <c r="C209" s="6">
        <v>134</v>
      </c>
      <c r="D209" s="13" t="s">
        <v>32</v>
      </c>
      <c r="E209" s="14">
        <v>44996</v>
      </c>
      <c r="F209" s="6">
        <v>180</v>
      </c>
      <c r="G209" s="24">
        <v>3.1</v>
      </c>
      <c r="H209">
        <f>IF(MONTH(Table13[[#This Row],[Date of Call]])&lt;6, YEAR(Table13[[#This Row],[Date of Call]]),YEAR(Table13[[#This Row],[Date of Call]])+1)</f>
        <v>2023</v>
      </c>
      <c r="I209" t="str">
        <f>TEXT(Table13[[#This Row],[Date of Call]],"dddd")</f>
        <v>Saturday</v>
      </c>
      <c r="J2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09">
        <f>ROUND(Table13[[#This Row],[Satisfaction Rating]],0)</f>
        <v>3</v>
      </c>
    </row>
    <row r="210" spans="1:11" x14ac:dyDescent="0.3">
      <c r="A210" s="23" t="s">
        <v>251</v>
      </c>
      <c r="B210" s="6" t="s">
        <v>14</v>
      </c>
      <c r="C210" s="6">
        <v>73</v>
      </c>
      <c r="D210" s="13" t="s">
        <v>31</v>
      </c>
      <c r="E210" s="14">
        <v>44997</v>
      </c>
      <c r="F210" s="6">
        <v>34</v>
      </c>
      <c r="G210" s="24">
        <v>4.8</v>
      </c>
      <c r="H210">
        <f>IF(MONTH(Table13[[#This Row],[Date of Call]])&lt;6, YEAR(Table13[[#This Row],[Date of Call]]),YEAR(Table13[[#This Row],[Date of Call]])+1)</f>
        <v>2023</v>
      </c>
      <c r="I210" t="str">
        <f>TEXT(Table13[[#This Row],[Date of Call]],"dddd")</f>
        <v>Sunday</v>
      </c>
      <c r="J2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10">
        <f>ROUND(Table13[[#This Row],[Satisfaction Rating]],0)</f>
        <v>5</v>
      </c>
    </row>
    <row r="211" spans="1:11" x14ac:dyDescent="0.3">
      <c r="A211" s="23" t="s">
        <v>252</v>
      </c>
      <c r="B211" s="6" t="s">
        <v>11</v>
      </c>
      <c r="C211" s="6">
        <v>6</v>
      </c>
      <c r="D211" s="13" t="s">
        <v>30</v>
      </c>
      <c r="E211" s="14">
        <v>44997</v>
      </c>
      <c r="F211" s="6">
        <v>29</v>
      </c>
      <c r="G211" s="24">
        <v>4.7</v>
      </c>
      <c r="H211">
        <f>IF(MONTH(Table13[[#This Row],[Date of Call]])&lt;6, YEAR(Table13[[#This Row],[Date of Call]]),YEAR(Table13[[#This Row],[Date of Call]])+1)</f>
        <v>2023</v>
      </c>
      <c r="I211" t="str">
        <f>TEXT(Table13[[#This Row],[Date of Call]],"dddd")</f>
        <v>Sunday</v>
      </c>
      <c r="J2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211">
        <f>ROUND(Table13[[#This Row],[Satisfaction Rating]],0)</f>
        <v>5</v>
      </c>
    </row>
    <row r="212" spans="1:11" x14ac:dyDescent="0.3">
      <c r="A212" s="23" t="s">
        <v>253</v>
      </c>
      <c r="B212" s="6" t="s">
        <v>15</v>
      </c>
      <c r="C212" s="6">
        <v>46</v>
      </c>
      <c r="D212" s="13" t="s">
        <v>29</v>
      </c>
      <c r="E212" s="14">
        <v>44997</v>
      </c>
      <c r="F212" s="6">
        <v>165</v>
      </c>
      <c r="G212" s="24">
        <v>3.3</v>
      </c>
      <c r="H212">
        <f>IF(MONTH(Table13[[#This Row],[Date of Call]])&lt;6, YEAR(Table13[[#This Row],[Date of Call]]),YEAR(Table13[[#This Row],[Date of Call]])+1)</f>
        <v>2023</v>
      </c>
      <c r="I212" t="str">
        <f>TEXT(Table13[[#This Row],[Date of Call]],"dddd")</f>
        <v>Sunday</v>
      </c>
      <c r="J2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12">
        <f>ROUND(Table13[[#This Row],[Satisfaction Rating]],0)</f>
        <v>3</v>
      </c>
    </row>
    <row r="213" spans="1:11" x14ac:dyDescent="0.3">
      <c r="A213" s="23" t="s">
        <v>254</v>
      </c>
      <c r="B213" s="6" t="s">
        <v>11</v>
      </c>
      <c r="C213" s="6">
        <v>121</v>
      </c>
      <c r="D213" s="13" t="s">
        <v>31</v>
      </c>
      <c r="E213" s="14">
        <v>44998</v>
      </c>
      <c r="F213" s="6">
        <v>32</v>
      </c>
      <c r="G213" s="24">
        <v>3.7</v>
      </c>
      <c r="H213">
        <f>IF(MONTH(Table13[[#This Row],[Date of Call]])&lt;6, YEAR(Table13[[#This Row],[Date of Call]]),YEAR(Table13[[#This Row],[Date of Call]])+1)</f>
        <v>2023</v>
      </c>
      <c r="I213" t="str">
        <f>TEXT(Table13[[#This Row],[Date of Call]],"dddd")</f>
        <v>Monday</v>
      </c>
      <c r="J2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13">
        <f>ROUND(Table13[[#This Row],[Satisfaction Rating]],0)</f>
        <v>4</v>
      </c>
    </row>
    <row r="214" spans="1:11" x14ac:dyDescent="0.3">
      <c r="A214" s="23" t="s">
        <v>255</v>
      </c>
      <c r="B214" s="6" t="s">
        <v>4</v>
      </c>
      <c r="C214" s="6">
        <v>61</v>
      </c>
      <c r="D214" s="13" t="s">
        <v>28</v>
      </c>
      <c r="E214" s="14">
        <v>44998</v>
      </c>
      <c r="F214" s="6">
        <v>160</v>
      </c>
      <c r="G214" s="24">
        <v>4.9000000000000004</v>
      </c>
      <c r="H214">
        <f>IF(MONTH(Table13[[#This Row],[Date of Call]])&lt;6, YEAR(Table13[[#This Row],[Date of Call]]),YEAR(Table13[[#This Row],[Date of Call]])+1)</f>
        <v>2023</v>
      </c>
      <c r="I214" t="str">
        <f>TEXT(Table13[[#This Row],[Date of Call]],"dddd")</f>
        <v>Monday</v>
      </c>
      <c r="J2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14">
        <f>ROUND(Table13[[#This Row],[Satisfaction Rating]],0)</f>
        <v>5</v>
      </c>
    </row>
    <row r="215" spans="1:11" x14ac:dyDescent="0.3">
      <c r="A215" s="23" t="s">
        <v>256</v>
      </c>
      <c r="B215" s="6" t="s">
        <v>16</v>
      </c>
      <c r="C215" s="6">
        <v>144</v>
      </c>
      <c r="D215" s="13" t="s">
        <v>32</v>
      </c>
      <c r="E215" s="14">
        <v>44998</v>
      </c>
      <c r="F215" s="6">
        <v>140</v>
      </c>
      <c r="G215" s="24">
        <v>3.5</v>
      </c>
      <c r="H215">
        <f>IF(MONTH(Table13[[#This Row],[Date of Call]])&lt;6, YEAR(Table13[[#This Row],[Date of Call]]),YEAR(Table13[[#This Row],[Date of Call]])+1)</f>
        <v>2023</v>
      </c>
      <c r="I215" t="str">
        <f>TEXT(Table13[[#This Row],[Date of Call]],"dddd")</f>
        <v>Monday</v>
      </c>
      <c r="J2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15">
        <f>ROUND(Table13[[#This Row],[Satisfaction Rating]],0)</f>
        <v>4</v>
      </c>
    </row>
    <row r="216" spans="1:11" x14ac:dyDescent="0.3">
      <c r="A216" s="23" t="s">
        <v>257</v>
      </c>
      <c r="B216" s="6" t="s">
        <v>15</v>
      </c>
      <c r="C216" s="6">
        <v>145</v>
      </c>
      <c r="D216" s="13" t="s">
        <v>32</v>
      </c>
      <c r="E216" s="14">
        <v>44998</v>
      </c>
      <c r="F216" s="6">
        <v>136</v>
      </c>
      <c r="G216" s="24">
        <v>4.4000000000000004</v>
      </c>
      <c r="H216">
        <f>IF(MONTH(Table13[[#This Row],[Date of Call]])&lt;6, YEAR(Table13[[#This Row],[Date of Call]]),YEAR(Table13[[#This Row],[Date of Call]])+1)</f>
        <v>2023</v>
      </c>
      <c r="I216" t="str">
        <f>TEXT(Table13[[#This Row],[Date of Call]],"dddd")</f>
        <v>Monday</v>
      </c>
      <c r="J2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16">
        <f>ROUND(Table13[[#This Row],[Satisfaction Rating]],0)</f>
        <v>4</v>
      </c>
    </row>
    <row r="217" spans="1:11" x14ac:dyDescent="0.3">
      <c r="A217" s="23" t="s">
        <v>258</v>
      </c>
      <c r="B217" s="6" t="s">
        <v>8</v>
      </c>
      <c r="C217" s="6">
        <v>85</v>
      </c>
      <c r="D217" s="13" t="s">
        <v>30</v>
      </c>
      <c r="E217" s="14">
        <v>44998</v>
      </c>
      <c r="F217" s="6">
        <v>66</v>
      </c>
      <c r="G217" s="24">
        <v>2.8</v>
      </c>
      <c r="H217">
        <f>IF(MONTH(Table13[[#This Row],[Date of Call]])&lt;6, YEAR(Table13[[#This Row],[Date of Call]]),YEAR(Table13[[#This Row],[Date of Call]])+1)</f>
        <v>2023</v>
      </c>
      <c r="I217" t="str">
        <f>TEXT(Table13[[#This Row],[Date of Call]],"dddd")</f>
        <v>Monday</v>
      </c>
      <c r="J2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17">
        <f>ROUND(Table13[[#This Row],[Satisfaction Rating]],0)</f>
        <v>3</v>
      </c>
    </row>
    <row r="218" spans="1:11" x14ac:dyDescent="0.3">
      <c r="A218" s="23" t="s">
        <v>259</v>
      </c>
      <c r="B218" s="6" t="s">
        <v>15</v>
      </c>
      <c r="C218" s="6">
        <v>13</v>
      </c>
      <c r="D218" s="13" t="s">
        <v>28</v>
      </c>
      <c r="E218" s="14">
        <v>44999</v>
      </c>
      <c r="F218" s="6">
        <v>63</v>
      </c>
      <c r="G218" s="24">
        <v>4.0999999999999996</v>
      </c>
      <c r="H218">
        <f>IF(MONTH(Table13[[#This Row],[Date of Call]])&lt;6, YEAR(Table13[[#This Row],[Date of Call]]),YEAR(Table13[[#This Row],[Date of Call]])+1)</f>
        <v>2023</v>
      </c>
      <c r="I218" t="str">
        <f>TEXT(Table13[[#This Row],[Date of Call]],"dddd")</f>
        <v>Tuesday</v>
      </c>
      <c r="J2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218">
        <f>ROUND(Table13[[#This Row],[Satisfaction Rating]],0)</f>
        <v>4</v>
      </c>
    </row>
    <row r="219" spans="1:11" x14ac:dyDescent="0.3">
      <c r="A219" s="23" t="s">
        <v>260</v>
      </c>
      <c r="B219" s="6" t="s">
        <v>6</v>
      </c>
      <c r="C219" s="6">
        <v>142</v>
      </c>
      <c r="D219" s="13" t="s">
        <v>31</v>
      </c>
      <c r="E219" s="14">
        <v>44999</v>
      </c>
      <c r="F219" s="6">
        <v>44</v>
      </c>
      <c r="G219" s="24">
        <v>3.5</v>
      </c>
      <c r="H219">
        <f>IF(MONTH(Table13[[#This Row],[Date of Call]])&lt;6, YEAR(Table13[[#This Row],[Date of Call]]),YEAR(Table13[[#This Row],[Date of Call]])+1)</f>
        <v>2023</v>
      </c>
      <c r="I219" t="str">
        <f>TEXT(Table13[[#This Row],[Date of Call]],"dddd")</f>
        <v>Tuesday</v>
      </c>
      <c r="J2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19">
        <f>ROUND(Table13[[#This Row],[Satisfaction Rating]],0)</f>
        <v>4</v>
      </c>
    </row>
    <row r="220" spans="1:11" x14ac:dyDescent="0.3">
      <c r="A220" s="23" t="s">
        <v>261</v>
      </c>
      <c r="B220" s="6" t="s">
        <v>16</v>
      </c>
      <c r="C220" s="6">
        <v>28</v>
      </c>
      <c r="D220" s="13" t="s">
        <v>29</v>
      </c>
      <c r="E220" s="14">
        <v>44999</v>
      </c>
      <c r="F220" s="6">
        <v>78</v>
      </c>
      <c r="G220" s="24">
        <v>3.8</v>
      </c>
      <c r="H220">
        <f>IF(MONTH(Table13[[#This Row],[Date of Call]])&lt;6, YEAR(Table13[[#This Row],[Date of Call]]),YEAR(Table13[[#This Row],[Date of Call]])+1)</f>
        <v>2023</v>
      </c>
      <c r="I220" t="str">
        <f>TEXT(Table13[[#This Row],[Date of Call]],"dddd")</f>
        <v>Tuesday</v>
      </c>
      <c r="J2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220">
        <f>ROUND(Table13[[#This Row],[Satisfaction Rating]],0)</f>
        <v>4</v>
      </c>
    </row>
    <row r="221" spans="1:11" x14ac:dyDescent="0.3">
      <c r="A221" s="23" t="s">
        <v>262</v>
      </c>
      <c r="B221" s="6" t="s">
        <v>16</v>
      </c>
      <c r="C221" s="6">
        <v>119</v>
      </c>
      <c r="D221" s="13" t="s">
        <v>31</v>
      </c>
      <c r="E221" s="14">
        <v>44999</v>
      </c>
      <c r="F221" s="6">
        <v>20</v>
      </c>
      <c r="G221" s="24">
        <v>3.9</v>
      </c>
      <c r="H221">
        <f>IF(MONTH(Table13[[#This Row],[Date of Call]])&lt;6, YEAR(Table13[[#This Row],[Date of Call]]),YEAR(Table13[[#This Row],[Date of Call]])+1)</f>
        <v>2023</v>
      </c>
      <c r="I221" t="str">
        <f>TEXT(Table13[[#This Row],[Date of Call]],"dddd")</f>
        <v>Tuesday</v>
      </c>
      <c r="J2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21">
        <f>ROUND(Table13[[#This Row],[Satisfaction Rating]],0)</f>
        <v>4</v>
      </c>
    </row>
    <row r="222" spans="1:11" x14ac:dyDescent="0.3">
      <c r="A222" s="23" t="s">
        <v>263</v>
      </c>
      <c r="B222" s="6" t="s">
        <v>11</v>
      </c>
      <c r="C222" s="6">
        <v>65</v>
      </c>
      <c r="D222" s="13" t="s">
        <v>30</v>
      </c>
      <c r="E222" s="14">
        <v>44999</v>
      </c>
      <c r="F222" s="6">
        <v>84</v>
      </c>
      <c r="G222" s="24">
        <v>2.5</v>
      </c>
      <c r="H222">
        <f>IF(MONTH(Table13[[#This Row],[Date of Call]])&lt;6, YEAR(Table13[[#This Row],[Date of Call]]),YEAR(Table13[[#This Row],[Date of Call]])+1)</f>
        <v>2023</v>
      </c>
      <c r="I222" t="str">
        <f>TEXT(Table13[[#This Row],[Date of Call]],"dddd")</f>
        <v>Tuesday</v>
      </c>
      <c r="J2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22">
        <f>ROUND(Table13[[#This Row],[Satisfaction Rating]],0)</f>
        <v>3</v>
      </c>
    </row>
    <row r="223" spans="1:11" x14ac:dyDescent="0.3">
      <c r="A223" s="23" t="s">
        <v>264</v>
      </c>
      <c r="B223" s="6" t="s">
        <v>5</v>
      </c>
      <c r="C223" s="6">
        <v>68</v>
      </c>
      <c r="D223" s="13" t="s">
        <v>30</v>
      </c>
      <c r="E223" s="14">
        <v>44999</v>
      </c>
      <c r="F223" s="6">
        <v>32</v>
      </c>
      <c r="G223" s="24">
        <v>4.9000000000000004</v>
      </c>
      <c r="H223">
        <f>IF(MONTH(Table13[[#This Row],[Date of Call]])&lt;6, YEAR(Table13[[#This Row],[Date of Call]]),YEAR(Table13[[#This Row],[Date of Call]])+1)</f>
        <v>2023</v>
      </c>
      <c r="I223" t="str">
        <f>TEXT(Table13[[#This Row],[Date of Call]],"dddd")</f>
        <v>Tuesday</v>
      </c>
      <c r="J2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23">
        <f>ROUND(Table13[[#This Row],[Satisfaction Rating]],0)</f>
        <v>5</v>
      </c>
    </row>
    <row r="224" spans="1:11" x14ac:dyDescent="0.3">
      <c r="A224" s="23" t="s">
        <v>265</v>
      </c>
      <c r="B224" s="6" t="s">
        <v>12</v>
      </c>
      <c r="C224" s="6">
        <v>72</v>
      </c>
      <c r="D224" s="13" t="s">
        <v>29</v>
      </c>
      <c r="E224" s="14">
        <v>44999</v>
      </c>
      <c r="F224" s="6">
        <v>132</v>
      </c>
      <c r="G224" s="24">
        <v>3.4</v>
      </c>
      <c r="H224">
        <f>IF(MONTH(Table13[[#This Row],[Date of Call]])&lt;6, YEAR(Table13[[#This Row],[Date of Call]]),YEAR(Table13[[#This Row],[Date of Call]])+1)</f>
        <v>2023</v>
      </c>
      <c r="I224" t="str">
        <f>TEXT(Table13[[#This Row],[Date of Call]],"dddd")</f>
        <v>Tuesday</v>
      </c>
      <c r="J2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24">
        <f>ROUND(Table13[[#This Row],[Satisfaction Rating]],0)</f>
        <v>3</v>
      </c>
    </row>
    <row r="225" spans="1:11" x14ac:dyDescent="0.3">
      <c r="A225" s="23" t="s">
        <v>266</v>
      </c>
      <c r="B225" s="6" t="s">
        <v>12</v>
      </c>
      <c r="C225" s="6">
        <v>63</v>
      </c>
      <c r="D225" s="13" t="s">
        <v>32</v>
      </c>
      <c r="E225" s="14">
        <v>44999</v>
      </c>
      <c r="F225" s="6">
        <v>105</v>
      </c>
      <c r="G225" s="24">
        <v>3.3</v>
      </c>
      <c r="H225">
        <f>IF(MONTH(Table13[[#This Row],[Date of Call]])&lt;6, YEAR(Table13[[#This Row],[Date of Call]]),YEAR(Table13[[#This Row],[Date of Call]])+1)</f>
        <v>2023</v>
      </c>
      <c r="I225" t="str">
        <f>TEXT(Table13[[#This Row],[Date of Call]],"dddd")</f>
        <v>Tuesday</v>
      </c>
      <c r="J2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25">
        <f>ROUND(Table13[[#This Row],[Satisfaction Rating]],0)</f>
        <v>3</v>
      </c>
    </row>
    <row r="226" spans="1:11" x14ac:dyDescent="0.3">
      <c r="A226" s="23" t="s">
        <v>267</v>
      </c>
      <c r="B226" s="6" t="s">
        <v>7</v>
      </c>
      <c r="C226" s="6">
        <v>139</v>
      </c>
      <c r="D226" s="13" t="s">
        <v>31</v>
      </c>
      <c r="E226" s="14">
        <v>45000</v>
      </c>
      <c r="F226" s="6">
        <v>48</v>
      </c>
      <c r="G226" s="24">
        <v>4.7</v>
      </c>
      <c r="H226">
        <f>IF(MONTH(Table13[[#This Row],[Date of Call]])&lt;6, YEAR(Table13[[#This Row],[Date of Call]]),YEAR(Table13[[#This Row],[Date of Call]])+1)</f>
        <v>2023</v>
      </c>
      <c r="I226" t="str">
        <f>TEXT(Table13[[#This Row],[Date of Call]],"dddd")</f>
        <v>Wednesday</v>
      </c>
      <c r="J2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26">
        <f>ROUND(Table13[[#This Row],[Satisfaction Rating]],0)</f>
        <v>5</v>
      </c>
    </row>
    <row r="227" spans="1:11" x14ac:dyDescent="0.3">
      <c r="A227" s="23" t="s">
        <v>268</v>
      </c>
      <c r="B227" s="6" t="s">
        <v>16</v>
      </c>
      <c r="C227" s="6">
        <v>59</v>
      </c>
      <c r="D227" s="13" t="s">
        <v>31</v>
      </c>
      <c r="E227" s="14">
        <v>45000</v>
      </c>
      <c r="F227" s="6">
        <v>64</v>
      </c>
      <c r="G227" s="24">
        <v>4</v>
      </c>
      <c r="H227">
        <f>IF(MONTH(Table13[[#This Row],[Date of Call]])&lt;6, YEAR(Table13[[#This Row],[Date of Call]]),YEAR(Table13[[#This Row],[Date of Call]])+1)</f>
        <v>2023</v>
      </c>
      <c r="I227" t="str">
        <f>TEXT(Table13[[#This Row],[Date of Call]],"dddd")</f>
        <v>Wednesday</v>
      </c>
      <c r="J2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27">
        <f>ROUND(Table13[[#This Row],[Satisfaction Rating]],0)</f>
        <v>4</v>
      </c>
    </row>
    <row r="228" spans="1:11" x14ac:dyDescent="0.3">
      <c r="A228" s="23" t="s">
        <v>269</v>
      </c>
      <c r="B228" s="6" t="s">
        <v>9</v>
      </c>
      <c r="C228" s="6">
        <v>138</v>
      </c>
      <c r="D228" s="13" t="s">
        <v>32</v>
      </c>
      <c r="E228" s="14">
        <v>45000</v>
      </c>
      <c r="F228" s="6">
        <v>44</v>
      </c>
      <c r="G228" s="24">
        <v>3.8</v>
      </c>
      <c r="H228">
        <f>IF(MONTH(Table13[[#This Row],[Date of Call]])&lt;6, YEAR(Table13[[#This Row],[Date of Call]]),YEAR(Table13[[#This Row],[Date of Call]])+1)</f>
        <v>2023</v>
      </c>
      <c r="I228" t="str">
        <f>TEXT(Table13[[#This Row],[Date of Call]],"dddd")</f>
        <v>Wednesday</v>
      </c>
      <c r="J2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28">
        <f>ROUND(Table13[[#This Row],[Satisfaction Rating]],0)</f>
        <v>4</v>
      </c>
    </row>
    <row r="229" spans="1:11" x14ac:dyDescent="0.3">
      <c r="A229" s="23" t="s">
        <v>270</v>
      </c>
      <c r="B229" s="6" t="s">
        <v>7</v>
      </c>
      <c r="C229" s="6">
        <v>47</v>
      </c>
      <c r="D229" s="13" t="s">
        <v>29</v>
      </c>
      <c r="E229" s="14">
        <v>45000</v>
      </c>
      <c r="F229" s="6">
        <v>120</v>
      </c>
      <c r="G229" s="24">
        <v>3.1</v>
      </c>
      <c r="H229">
        <f>IF(MONTH(Table13[[#This Row],[Date of Call]])&lt;6, YEAR(Table13[[#This Row],[Date of Call]]),YEAR(Table13[[#This Row],[Date of Call]])+1)</f>
        <v>2023</v>
      </c>
      <c r="I229" t="str">
        <f>TEXT(Table13[[#This Row],[Date of Call]],"dddd")</f>
        <v>Wednesday</v>
      </c>
      <c r="J2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29">
        <f>ROUND(Table13[[#This Row],[Satisfaction Rating]],0)</f>
        <v>3</v>
      </c>
    </row>
    <row r="230" spans="1:11" x14ac:dyDescent="0.3">
      <c r="A230" s="23" t="s">
        <v>271</v>
      </c>
      <c r="B230" s="6" t="s">
        <v>9</v>
      </c>
      <c r="C230" s="6">
        <v>74</v>
      </c>
      <c r="D230" s="13" t="s">
        <v>29</v>
      </c>
      <c r="E230" s="14">
        <v>45000</v>
      </c>
      <c r="F230" s="6">
        <v>144</v>
      </c>
      <c r="G230" s="24">
        <v>4.8</v>
      </c>
      <c r="H230">
        <f>IF(MONTH(Table13[[#This Row],[Date of Call]])&lt;6, YEAR(Table13[[#This Row],[Date of Call]]),YEAR(Table13[[#This Row],[Date of Call]])+1)</f>
        <v>2023</v>
      </c>
      <c r="I230" t="str">
        <f>TEXT(Table13[[#This Row],[Date of Call]],"dddd")</f>
        <v>Wednesday</v>
      </c>
      <c r="J2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0">
        <f>ROUND(Table13[[#This Row],[Satisfaction Rating]],0)</f>
        <v>5</v>
      </c>
    </row>
    <row r="231" spans="1:11" x14ac:dyDescent="0.3">
      <c r="A231" s="23" t="s">
        <v>272</v>
      </c>
      <c r="B231" s="6" t="s">
        <v>12</v>
      </c>
      <c r="C231" s="6">
        <v>65</v>
      </c>
      <c r="D231" s="13" t="s">
        <v>29</v>
      </c>
      <c r="E231" s="14">
        <v>45000</v>
      </c>
      <c r="F231" s="6">
        <v>87</v>
      </c>
      <c r="G231" s="24">
        <v>2.7</v>
      </c>
      <c r="H231">
        <f>IF(MONTH(Table13[[#This Row],[Date of Call]])&lt;6, YEAR(Table13[[#This Row],[Date of Call]]),YEAR(Table13[[#This Row],[Date of Call]])+1)</f>
        <v>2023</v>
      </c>
      <c r="I231" t="str">
        <f>TEXT(Table13[[#This Row],[Date of Call]],"dddd")</f>
        <v>Wednesday</v>
      </c>
      <c r="J2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1">
        <f>ROUND(Table13[[#This Row],[Satisfaction Rating]],0)</f>
        <v>3</v>
      </c>
    </row>
    <row r="232" spans="1:11" x14ac:dyDescent="0.3">
      <c r="A232" s="23" t="s">
        <v>273</v>
      </c>
      <c r="B232" s="6" t="s">
        <v>14</v>
      </c>
      <c r="C232" s="6">
        <v>123</v>
      </c>
      <c r="D232" s="13" t="s">
        <v>30</v>
      </c>
      <c r="E232" s="14">
        <v>45000</v>
      </c>
      <c r="F232" s="6">
        <v>36</v>
      </c>
      <c r="G232" s="24">
        <v>3.6</v>
      </c>
      <c r="H232">
        <f>IF(MONTH(Table13[[#This Row],[Date of Call]])&lt;6, YEAR(Table13[[#This Row],[Date of Call]]),YEAR(Table13[[#This Row],[Date of Call]])+1)</f>
        <v>2023</v>
      </c>
      <c r="I232" t="str">
        <f>TEXT(Table13[[#This Row],[Date of Call]],"dddd")</f>
        <v>Wednesday</v>
      </c>
      <c r="J2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32">
        <f>ROUND(Table13[[#This Row],[Satisfaction Rating]],0)</f>
        <v>4</v>
      </c>
    </row>
    <row r="233" spans="1:11" x14ac:dyDescent="0.3">
      <c r="A233" s="23" t="s">
        <v>274</v>
      </c>
      <c r="B233" s="6" t="s">
        <v>12</v>
      </c>
      <c r="C233" s="6">
        <v>90</v>
      </c>
      <c r="D233" s="13" t="s">
        <v>31</v>
      </c>
      <c r="E233" s="14">
        <v>45001</v>
      </c>
      <c r="F233" s="6">
        <v>72</v>
      </c>
      <c r="G233" s="24">
        <v>4.7</v>
      </c>
      <c r="H233">
        <f>IF(MONTH(Table13[[#This Row],[Date of Call]])&lt;6, YEAR(Table13[[#This Row],[Date of Call]]),YEAR(Table13[[#This Row],[Date of Call]])+1)</f>
        <v>2023</v>
      </c>
      <c r="I233" t="str">
        <f>TEXT(Table13[[#This Row],[Date of Call]],"dddd")</f>
        <v>Thursday</v>
      </c>
      <c r="J2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3">
        <f>ROUND(Table13[[#This Row],[Satisfaction Rating]],0)</f>
        <v>5</v>
      </c>
    </row>
    <row r="234" spans="1:11" x14ac:dyDescent="0.3">
      <c r="A234" s="23" t="s">
        <v>275</v>
      </c>
      <c r="B234" s="6" t="s">
        <v>4</v>
      </c>
      <c r="C234" s="6">
        <v>127</v>
      </c>
      <c r="D234" s="13" t="s">
        <v>32</v>
      </c>
      <c r="E234" s="14">
        <v>45001</v>
      </c>
      <c r="F234" s="6">
        <v>150</v>
      </c>
      <c r="G234" s="24">
        <v>4.4000000000000004</v>
      </c>
      <c r="H234">
        <f>IF(MONTH(Table13[[#This Row],[Date of Call]])&lt;6, YEAR(Table13[[#This Row],[Date of Call]]),YEAR(Table13[[#This Row],[Date of Call]])+1)</f>
        <v>2023</v>
      </c>
      <c r="I234" t="str">
        <f>TEXT(Table13[[#This Row],[Date of Call]],"dddd")</f>
        <v>Thursday</v>
      </c>
      <c r="J2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34">
        <f>ROUND(Table13[[#This Row],[Satisfaction Rating]],0)</f>
        <v>4</v>
      </c>
    </row>
    <row r="235" spans="1:11" x14ac:dyDescent="0.3">
      <c r="A235" s="23" t="s">
        <v>276</v>
      </c>
      <c r="B235" s="6" t="s">
        <v>17</v>
      </c>
      <c r="C235" s="6">
        <v>60</v>
      </c>
      <c r="D235" s="13" t="s">
        <v>29</v>
      </c>
      <c r="E235" s="14">
        <v>45001</v>
      </c>
      <c r="F235" s="6">
        <v>68</v>
      </c>
      <c r="G235" s="24">
        <v>4.3</v>
      </c>
      <c r="H235">
        <f>IF(MONTH(Table13[[#This Row],[Date of Call]])&lt;6, YEAR(Table13[[#This Row],[Date of Call]]),YEAR(Table13[[#This Row],[Date of Call]])+1)</f>
        <v>2023</v>
      </c>
      <c r="I235" t="str">
        <f>TEXT(Table13[[#This Row],[Date of Call]],"dddd")</f>
        <v>Thursday</v>
      </c>
      <c r="J2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5">
        <f>ROUND(Table13[[#This Row],[Satisfaction Rating]],0)</f>
        <v>4</v>
      </c>
    </row>
    <row r="236" spans="1:11" x14ac:dyDescent="0.3">
      <c r="A236" s="23" t="s">
        <v>277</v>
      </c>
      <c r="B236" s="6" t="s">
        <v>7</v>
      </c>
      <c r="C236" s="6">
        <v>94</v>
      </c>
      <c r="D236" s="13" t="s">
        <v>32</v>
      </c>
      <c r="E236" s="14">
        <v>45001</v>
      </c>
      <c r="F236" s="6">
        <v>99</v>
      </c>
      <c r="G236" s="24">
        <v>4.9000000000000004</v>
      </c>
      <c r="H236">
        <f>IF(MONTH(Table13[[#This Row],[Date of Call]])&lt;6, YEAR(Table13[[#This Row],[Date of Call]]),YEAR(Table13[[#This Row],[Date of Call]])+1)</f>
        <v>2023</v>
      </c>
      <c r="I236" t="str">
        <f>TEXT(Table13[[#This Row],[Date of Call]],"dddd")</f>
        <v>Thursday</v>
      </c>
      <c r="J2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6">
        <f>ROUND(Table13[[#This Row],[Satisfaction Rating]],0)</f>
        <v>5</v>
      </c>
    </row>
    <row r="237" spans="1:11" x14ac:dyDescent="0.3">
      <c r="A237" s="23" t="s">
        <v>278</v>
      </c>
      <c r="B237" s="6" t="s">
        <v>14</v>
      </c>
      <c r="C237" s="6">
        <v>54</v>
      </c>
      <c r="D237" s="13" t="s">
        <v>29</v>
      </c>
      <c r="E237" s="14">
        <v>45001</v>
      </c>
      <c r="F237" s="6">
        <v>26</v>
      </c>
      <c r="G237" s="24">
        <v>4.8</v>
      </c>
      <c r="H237">
        <f>IF(MONTH(Table13[[#This Row],[Date of Call]])&lt;6, YEAR(Table13[[#This Row],[Date of Call]]),YEAR(Table13[[#This Row],[Date of Call]])+1)</f>
        <v>2023</v>
      </c>
      <c r="I237" t="str">
        <f>TEXT(Table13[[#This Row],[Date of Call]],"dddd")</f>
        <v>Thursday</v>
      </c>
      <c r="J2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37">
        <f>ROUND(Table13[[#This Row],[Satisfaction Rating]],0)</f>
        <v>5</v>
      </c>
    </row>
    <row r="238" spans="1:11" x14ac:dyDescent="0.3">
      <c r="A238" s="23" t="s">
        <v>279</v>
      </c>
      <c r="B238" s="6" t="s">
        <v>12</v>
      </c>
      <c r="C238" s="6">
        <v>104</v>
      </c>
      <c r="D238" s="13" t="s">
        <v>29</v>
      </c>
      <c r="E238" s="14">
        <v>45001</v>
      </c>
      <c r="F238" s="6">
        <v>88</v>
      </c>
      <c r="G238" s="24">
        <v>3.2</v>
      </c>
      <c r="H238">
        <f>IF(MONTH(Table13[[#This Row],[Date of Call]])&lt;6, YEAR(Table13[[#This Row],[Date of Call]]),YEAR(Table13[[#This Row],[Date of Call]])+1)</f>
        <v>2023</v>
      </c>
      <c r="I238" t="str">
        <f>TEXT(Table13[[#This Row],[Date of Call]],"dddd")</f>
        <v>Thursday</v>
      </c>
      <c r="J2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8">
        <f>ROUND(Table13[[#This Row],[Satisfaction Rating]],0)</f>
        <v>3</v>
      </c>
    </row>
    <row r="239" spans="1:11" x14ac:dyDescent="0.3">
      <c r="A239" s="23" t="s">
        <v>280</v>
      </c>
      <c r="B239" s="6" t="s">
        <v>10</v>
      </c>
      <c r="C239" s="6">
        <v>100</v>
      </c>
      <c r="D239" s="13" t="s">
        <v>29</v>
      </c>
      <c r="E239" s="14">
        <v>45001</v>
      </c>
      <c r="F239" s="6">
        <v>124</v>
      </c>
      <c r="G239" s="24">
        <v>3.4</v>
      </c>
      <c r="H239">
        <f>IF(MONTH(Table13[[#This Row],[Date of Call]])&lt;6, YEAR(Table13[[#This Row],[Date of Call]]),YEAR(Table13[[#This Row],[Date of Call]])+1)</f>
        <v>2023</v>
      </c>
      <c r="I239" t="str">
        <f>TEXT(Table13[[#This Row],[Date of Call]],"dddd")</f>
        <v>Thursday</v>
      </c>
      <c r="J2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39">
        <f>ROUND(Table13[[#This Row],[Satisfaction Rating]],0)</f>
        <v>3</v>
      </c>
    </row>
    <row r="240" spans="1:11" x14ac:dyDescent="0.3">
      <c r="A240" s="23" t="s">
        <v>281</v>
      </c>
      <c r="B240" s="6" t="s">
        <v>9</v>
      </c>
      <c r="C240" s="6">
        <v>84</v>
      </c>
      <c r="D240" s="13" t="s">
        <v>29</v>
      </c>
      <c r="E240" s="14">
        <v>45001</v>
      </c>
      <c r="F240" s="6">
        <v>72</v>
      </c>
      <c r="G240" s="24">
        <v>3.5</v>
      </c>
      <c r="H240">
        <f>IF(MONTH(Table13[[#This Row],[Date of Call]])&lt;6, YEAR(Table13[[#This Row],[Date of Call]]),YEAR(Table13[[#This Row],[Date of Call]])+1)</f>
        <v>2023</v>
      </c>
      <c r="I240" t="str">
        <f>TEXT(Table13[[#This Row],[Date of Call]],"dddd")</f>
        <v>Thursday</v>
      </c>
      <c r="J2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0">
        <f>ROUND(Table13[[#This Row],[Satisfaction Rating]],0)</f>
        <v>4</v>
      </c>
    </row>
    <row r="241" spans="1:11" x14ac:dyDescent="0.3">
      <c r="A241" s="23" t="s">
        <v>282</v>
      </c>
      <c r="B241" s="6" t="s">
        <v>6</v>
      </c>
      <c r="C241" s="6">
        <v>92</v>
      </c>
      <c r="D241" s="13" t="s">
        <v>28</v>
      </c>
      <c r="E241" s="14">
        <v>45002</v>
      </c>
      <c r="F241" s="6">
        <v>125</v>
      </c>
      <c r="G241" s="24">
        <v>4.9000000000000004</v>
      </c>
      <c r="H241">
        <f>IF(MONTH(Table13[[#This Row],[Date of Call]])&lt;6, YEAR(Table13[[#This Row],[Date of Call]]),YEAR(Table13[[#This Row],[Date of Call]])+1)</f>
        <v>2023</v>
      </c>
      <c r="I241" t="str">
        <f>TEXT(Table13[[#This Row],[Date of Call]],"dddd")</f>
        <v>Friday</v>
      </c>
      <c r="J2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1">
        <f>ROUND(Table13[[#This Row],[Satisfaction Rating]],0)</f>
        <v>5</v>
      </c>
    </row>
    <row r="242" spans="1:11" x14ac:dyDescent="0.3">
      <c r="A242" s="23" t="s">
        <v>283</v>
      </c>
      <c r="B242" s="6" t="s">
        <v>13</v>
      </c>
      <c r="C242" s="6">
        <v>64</v>
      </c>
      <c r="D242" s="13" t="s">
        <v>32</v>
      </c>
      <c r="E242" s="14">
        <v>45002</v>
      </c>
      <c r="F242" s="6">
        <v>22</v>
      </c>
      <c r="G242" s="24">
        <v>4.0999999999999996</v>
      </c>
      <c r="H242">
        <f>IF(MONTH(Table13[[#This Row],[Date of Call]])&lt;6, YEAR(Table13[[#This Row],[Date of Call]]),YEAR(Table13[[#This Row],[Date of Call]])+1)</f>
        <v>2023</v>
      </c>
      <c r="I242" t="str">
        <f>TEXT(Table13[[#This Row],[Date of Call]],"dddd")</f>
        <v>Friday</v>
      </c>
      <c r="J2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2">
        <f>ROUND(Table13[[#This Row],[Satisfaction Rating]],0)</f>
        <v>4</v>
      </c>
    </row>
    <row r="243" spans="1:11" x14ac:dyDescent="0.3">
      <c r="A243" s="23" t="s">
        <v>284</v>
      </c>
      <c r="B243" s="6" t="s">
        <v>8</v>
      </c>
      <c r="C243" s="6">
        <v>89</v>
      </c>
      <c r="D243" s="13" t="s">
        <v>31</v>
      </c>
      <c r="E243" s="14">
        <v>45003</v>
      </c>
      <c r="F243" s="6">
        <v>70</v>
      </c>
      <c r="G243" s="24">
        <v>4.9000000000000004</v>
      </c>
      <c r="H243">
        <f>IF(MONTH(Table13[[#This Row],[Date of Call]])&lt;6, YEAR(Table13[[#This Row],[Date of Call]]),YEAR(Table13[[#This Row],[Date of Call]])+1)</f>
        <v>2023</v>
      </c>
      <c r="I243" t="str">
        <f>TEXT(Table13[[#This Row],[Date of Call]],"dddd")</f>
        <v>Saturday</v>
      </c>
      <c r="J2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3">
        <f>ROUND(Table13[[#This Row],[Satisfaction Rating]],0)</f>
        <v>5</v>
      </c>
    </row>
    <row r="244" spans="1:11" x14ac:dyDescent="0.3">
      <c r="A244" s="23" t="s">
        <v>285</v>
      </c>
      <c r="B244" s="6" t="s">
        <v>18</v>
      </c>
      <c r="C244" s="6">
        <v>40</v>
      </c>
      <c r="D244" s="13" t="s">
        <v>29</v>
      </c>
      <c r="E244" s="14">
        <v>45003</v>
      </c>
      <c r="F244" s="6">
        <v>24</v>
      </c>
      <c r="G244" s="24">
        <v>4.3</v>
      </c>
      <c r="H244">
        <f>IF(MONTH(Table13[[#This Row],[Date of Call]])&lt;6, YEAR(Table13[[#This Row],[Date of Call]]),YEAR(Table13[[#This Row],[Date of Call]])+1)</f>
        <v>2023</v>
      </c>
      <c r="I244" t="str">
        <f>TEXT(Table13[[#This Row],[Date of Call]],"dddd")</f>
        <v>Saturday</v>
      </c>
      <c r="J2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44">
        <f>ROUND(Table13[[#This Row],[Satisfaction Rating]],0)</f>
        <v>4</v>
      </c>
    </row>
    <row r="245" spans="1:11" x14ac:dyDescent="0.3">
      <c r="A245" s="23" t="s">
        <v>286</v>
      </c>
      <c r="B245" s="6" t="s">
        <v>16</v>
      </c>
      <c r="C245" s="6">
        <v>75</v>
      </c>
      <c r="D245" s="13" t="s">
        <v>30</v>
      </c>
      <c r="E245" s="14">
        <v>45003</v>
      </c>
      <c r="F245" s="6">
        <v>32</v>
      </c>
      <c r="G245" s="24">
        <v>4.0999999999999996</v>
      </c>
      <c r="H245">
        <f>IF(MONTH(Table13[[#This Row],[Date of Call]])&lt;6, YEAR(Table13[[#This Row],[Date of Call]]),YEAR(Table13[[#This Row],[Date of Call]])+1)</f>
        <v>2023</v>
      </c>
      <c r="I245" t="str">
        <f>TEXT(Table13[[#This Row],[Date of Call]],"dddd")</f>
        <v>Saturday</v>
      </c>
      <c r="J2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5">
        <f>ROUND(Table13[[#This Row],[Satisfaction Rating]],0)</f>
        <v>4</v>
      </c>
    </row>
    <row r="246" spans="1:11" x14ac:dyDescent="0.3">
      <c r="A246" s="23" t="s">
        <v>287</v>
      </c>
      <c r="B246" s="6" t="s">
        <v>4</v>
      </c>
      <c r="C246" s="6">
        <v>106</v>
      </c>
      <c r="D246" s="13" t="s">
        <v>28</v>
      </c>
      <c r="E246" s="14">
        <v>45003</v>
      </c>
      <c r="F246" s="6">
        <v>112</v>
      </c>
      <c r="G246" s="24">
        <v>4.4000000000000004</v>
      </c>
      <c r="H246">
        <f>IF(MONTH(Table13[[#This Row],[Date of Call]])&lt;6, YEAR(Table13[[#This Row],[Date of Call]]),YEAR(Table13[[#This Row],[Date of Call]])+1)</f>
        <v>2023</v>
      </c>
      <c r="I246" t="str">
        <f>TEXT(Table13[[#This Row],[Date of Call]],"dddd")</f>
        <v>Saturday</v>
      </c>
      <c r="J2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6">
        <f>ROUND(Table13[[#This Row],[Satisfaction Rating]],0)</f>
        <v>4</v>
      </c>
    </row>
    <row r="247" spans="1:11" x14ac:dyDescent="0.3">
      <c r="A247" s="23" t="s">
        <v>288</v>
      </c>
      <c r="B247" s="6" t="s">
        <v>13</v>
      </c>
      <c r="C247" s="6">
        <v>58</v>
      </c>
      <c r="D247" s="13" t="s">
        <v>29</v>
      </c>
      <c r="E247" s="14">
        <v>45004</v>
      </c>
      <c r="F247" s="6">
        <v>43</v>
      </c>
      <c r="G247" s="24">
        <v>4.5</v>
      </c>
      <c r="H247">
        <f>IF(MONTH(Table13[[#This Row],[Date of Call]])&lt;6, YEAR(Table13[[#This Row],[Date of Call]]),YEAR(Table13[[#This Row],[Date of Call]])+1)</f>
        <v>2023</v>
      </c>
      <c r="I247" t="str">
        <f>TEXT(Table13[[#This Row],[Date of Call]],"dddd")</f>
        <v>Sunday</v>
      </c>
      <c r="J2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47">
        <f>ROUND(Table13[[#This Row],[Satisfaction Rating]],0)</f>
        <v>5</v>
      </c>
    </row>
    <row r="248" spans="1:11" x14ac:dyDescent="0.3">
      <c r="A248" s="23" t="s">
        <v>289</v>
      </c>
      <c r="B248" s="6" t="s">
        <v>9</v>
      </c>
      <c r="C248" s="6">
        <v>84</v>
      </c>
      <c r="D248" s="13" t="s">
        <v>28</v>
      </c>
      <c r="E248" s="14">
        <v>45004</v>
      </c>
      <c r="F248" s="6">
        <v>22</v>
      </c>
      <c r="G248" s="24">
        <v>3.5</v>
      </c>
      <c r="H248">
        <f>IF(MONTH(Table13[[#This Row],[Date of Call]])&lt;6, YEAR(Table13[[#This Row],[Date of Call]]),YEAR(Table13[[#This Row],[Date of Call]])+1)</f>
        <v>2023</v>
      </c>
      <c r="I248" t="str">
        <f>TEXT(Table13[[#This Row],[Date of Call]],"dddd")</f>
        <v>Sunday</v>
      </c>
      <c r="J2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48">
        <f>ROUND(Table13[[#This Row],[Satisfaction Rating]],0)</f>
        <v>4</v>
      </c>
    </row>
    <row r="249" spans="1:11" x14ac:dyDescent="0.3">
      <c r="A249" s="23" t="s">
        <v>290</v>
      </c>
      <c r="B249" s="6" t="s">
        <v>12</v>
      </c>
      <c r="C249" s="6">
        <v>140</v>
      </c>
      <c r="D249" s="13" t="s">
        <v>28</v>
      </c>
      <c r="E249" s="14">
        <v>45004</v>
      </c>
      <c r="F249" s="6">
        <v>93</v>
      </c>
      <c r="G249" s="24">
        <v>4.4000000000000004</v>
      </c>
      <c r="H249">
        <f>IF(MONTH(Table13[[#This Row],[Date of Call]])&lt;6, YEAR(Table13[[#This Row],[Date of Call]]),YEAR(Table13[[#This Row],[Date of Call]])+1)</f>
        <v>2023</v>
      </c>
      <c r="I249" t="str">
        <f>TEXT(Table13[[#This Row],[Date of Call]],"dddd")</f>
        <v>Sunday</v>
      </c>
      <c r="J2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49">
        <f>ROUND(Table13[[#This Row],[Satisfaction Rating]],0)</f>
        <v>4</v>
      </c>
    </row>
    <row r="250" spans="1:11" x14ac:dyDescent="0.3">
      <c r="A250" s="23" t="s">
        <v>291</v>
      </c>
      <c r="B250" s="6" t="s">
        <v>13</v>
      </c>
      <c r="C250" s="6">
        <v>67</v>
      </c>
      <c r="D250" s="13" t="s">
        <v>28</v>
      </c>
      <c r="E250" s="14">
        <v>45004</v>
      </c>
      <c r="F250" s="6">
        <v>45</v>
      </c>
      <c r="G250" s="24">
        <v>3.5</v>
      </c>
      <c r="H250">
        <f>IF(MONTH(Table13[[#This Row],[Date of Call]])&lt;6, YEAR(Table13[[#This Row],[Date of Call]]),YEAR(Table13[[#This Row],[Date of Call]])+1)</f>
        <v>2023</v>
      </c>
      <c r="I250" t="str">
        <f>TEXT(Table13[[#This Row],[Date of Call]],"dddd")</f>
        <v>Sunday</v>
      </c>
      <c r="J2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50">
        <f>ROUND(Table13[[#This Row],[Satisfaction Rating]],0)</f>
        <v>4</v>
      </c>
    </row>
    <row r="251" spans="1:11" x14ac:dyDescent="0.3">
      <c r="A251" s="23" t="s">
        <v>292</v>
      </c>
      <c r="B251" s="6" t="s">
        <v>7</v>
      </c>
      <c r="C251" s="6">
        <v>126</v>
      </c>
      <c r="D251" s="13" t="s">
        <v>28</v>
      </c>
      <c r="E251" s="14">
        <v>45005</v>
      </c>
      <c r="F251" s="6">
        <v>96</v>
      </c>
      <c r="G251" s="24">
        <v>3.8</v>
      </c>
      <c r="H251">
        <f>IF(MONTH(Table13[[#This Row],[Date of Call]])&lt;6, YEAR(Table13[[#This Row],[Date of Call]]),YEAR(Table13[[#This Row],[Date of Call]])+1)</f>
        <v>2023</v>
      </c>
      <c r="I251" t="str">
        <f>TEXT(Table13[[#This Row],[Date of Call]],"dddd")</f>
        <v>Monday</v>
      </c>
      <c r="J2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51">
        <f>ROUND(Table13[[#This Row],[Satisfaction Rating]],0)</f>
        <v>4</v>
      </c>
    </row>
    <row r="252" spans="1:11" x14ac:dyDescent="0.3">
      <c r="A252" s="23" t="s">
        <v>293</v>
      </c>
      <c r="B252" s="6" t="s">
        <v>7</v>
      </c>
      <c r="C252" s="6">
        <v>89</v>
      </c>
      <c r="D252" s="13" t="s">
        <v>29</v>
      </c>
      <c r="E252" s="14">
        <v>45005</v>
      </c>
      <c r="F252" s="6">
        <v>96</v>
      </c>
      <c r="G252" s="24">
        <v>3.3</v>
      </c>
      <c r="H252">
        <f>IF(MONTH(Table13[[#This Row],[Date of Call]])&lt;6, YEAR(Table13[[#This Row],[Date of Call]]),YEAR(Table13[[#This Row],[Date of Call]])+1)</f>
        <v>2023</v>
      </c>
      <c r="I252" t="str">
        <f>TEXT(Table13[[#This Row],[Date of Call]],"dddd")</f>
        <v>Monday</v>
      </c>
      <c r="J2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52">
        <f>ROUND(Table13[[#This Row],[Satisfaction Rating]],0)</f>
        <v>3</v>
      </c>
    </row>
    <row r="253" spans="1:11" x14ac:dyDescent="0.3">
      <c r="A253" s="23" t="s">
        <v>294</v>
      </c>
      <c r="B253" s="6" t="s">
        <v>8</v>
      </c>
      <c r="C253" s="6">
        <v>56</v>
      </c>
      <c r="D253" s="13" t="s">
        <v>32</v>
      </c>
      <c r="E253" s="14">
        <v>45005</v>
      </c>
      <c r="F253" s="6">
        <v>31</v>
      </c>
      <c r="G253" s="24">
        <v>4.4000000000000004</v>
      </c>
      <c r="H253">
        <f>IF(MONTH(Table13[[#This Row],[Date of Call]])&lt;6, YEAR(Table13[[#This Row],[Date of Call]]),YEAR(Table13[[#This Row],[Date of Call]])+1)</f>
        <v>2023</v>
      </c>
      <c r="I253" t="str">
        <f>TEXT(Table13[[#This Row],[Date of Call]],"dddd")</f>
        <v>Monday</v>
      </c>
      <c r="J2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53">
        <f>ROUND(Table13[[#This Row],[Satisfaction Rating]],0)</f>
        <v>4</v>
      </c>
    </row>
    <row r="254" spans="1:11" x14ac:dyDescent="0.3">
      <c r="A254" s="23" t="s">
        <v>295</v>
      </c>
      <c r="B254" s="6" t="s">
        <v>14</v>
      </c>
      <c r="C254" s="6">
        <v>48</v>
      </c>
      <c r="D254" s="13" t="s">
        <v>29</v>
      </c>
      <c r="E254" s="14">
        <v>45005</v>
      </c>
      <c r="F254" s="6">
        <v>200</v>
      </c>
      <c r="G254" s="24">
        <v>3.9</v>
      </c>
      <c r="H254">
        <f>IF(MONTH(Table13[[#This Row],[Date of Call]])&lt;6, YEAR(Table13[[#This Row],[Date of Call]]),YEAR(Table13[[#This Row],[Date of Call]])+1)</f>
        <v>2023</v>
      </c>
      <c r="I254" t="str">
        <f>TEXT(Table13[[#This Row],[Date of Call]],"dddd")</f>
        <v>Monday</v>
      </c>
      <c r="J2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54">
        <f>ROUND(Table13[[#This Row],[Satisfaction Rating]],0)</f>
        <v>4</v>
      </c>
    </row>
    <row r="255" spans="1:11" x14ac:dyDescent="0.3">
      <c r="A255" s="23" t="s">
        <v>296</v>
      </c>
      <c r="B255" s="6" t="s">
        <v>7</v>
      </c>
      <c r="C255" s="6">
        <v>55</v>
      </c>
      <c r="D255" s="13" t="s">
        <v>32</v>
      </c>
      <c r="E255" s="14">
        <v>45005</v>
      </c>
      <c r="F255" s="6">
        <v>99</v>
      </c>
      <c r="G255" s="24">
        <v>2.7</v>
      </c>
      <c r="H255">
        <f>IF(MONTH(Table13[[#This Row],[Date of Call]])&lt;6, YEAR(Table13[[#This Row],[Date of Call]]),YEAR(Table13[[#This Row],[Date of Call]])+1)</f>
        <v>2023</v>
      </c>
      <c r="I255" t="str">
        <f>TEXT(Table13[[#This Row],[Date of Call]],"dddd")</f>
        <v>Monday</v>
      </c>
      <c r="J2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55">
        <f>ROUND(Table13[[#This Row],[Satisfaction Rating]],0)</f>
        <v>3</v>
      </c>
    </row>
    <row r="256" spans="1:11" x14ac:dyDescent="0.3">
      <c r="A256" s="23" t="s">
        <v>297</v>
      </c>
      <c r="B256" s="6" t="s">
        <v>17</v>
      </c>
      <c r="C256" s="6">
        <v>88</v>
      </c>
      <c r="D256" s="13" t="s">
        <v>30</v>
      </c>
      <c r="E256" s="14">
        <v>45005</v>
      </c>
      <c r="F256" s="6">
        <v>144</v>
      </c>
      <c r="G256" s="24">
        <v>2.9</v>
      </c>
      <c r="H256">
        <f>IF(MONTH(Table13[[#This Row],[Date of Call]])&lt;6, YEAR(Table13[[#This Row],[Date of Call]]),YEAR(Table13[[#This Row],[Date of Call]])+1)</f>
        <v>2023</v>
      </c>
      <c r="I256" t="str">
        <f>TEXT(Table13[[#This Row],[Date of Call]],"dddd")</f>
        <v>Monday</v>
      </c>
      <c r="J2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56">
        <f>ROUND(Table13[[#This Row],[Satisfaction Rating]],0)</f>
        <v>3</v>
      </c>
    </row>
    <row r="257" spans="1:11" x14ac:dyDescent="0.3">
      <c r="A257" s="23" t="s">
        <v>298</v>
      </c>
      <c r="B257" s="6" t="s">
        <v>8</v>
      </c>
      <c r="C257" s="6">
        <v>102</v>
      </c>
      <c r="D257" s="13" t="s">
        <v>28</v>
      </c>
      <c r="E257" s="14">
        <v>45006</v>
      </c>
      <c r="F257" s="6">
        <v>81</v>
      </c>
      <c r="G257" s="24">
        <v>4</v>
      </c>
      <c r="H257">
        <f>IF(MONTH(Table13[[#This Row],[Date of Call]])&lt;6, YEAR(Table13[[#This Row],[Date of Call]]),YEAR(Table13[[#This Row],[Date of Call]])+1)</f>
        <v>2023</v>
      </c>
      <c r="I257" t="str">
        <f>TEXT(Table13[[#This Row],[Date of Call]],"dddd")</f>
        <v>Tuesday</v>
      </c>
      <c r="J2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57">
        <f>ROUND(Table13[[#This Row],[Satisfaction Rating]],0)</f>
        <v>4</v>
      </c>
    </row>
    <row r="258" spans="1:11" x14ac:dyDescent="0.3">
      <c r="A258" s="23" t="s">
        <v>299</v>
      </c>
      <c r="B258" s="6" t="s">
        <v>17</v>
      </c>
      <c r="C258" s="6">
        <v>155</v>
      </c>
      <c r="D258" s="13" t="s">
        <v>30</v>
      </c>
      <c r="E258" s="14">
        <v>45006</v>
      </c>
      <c r="F258" s="6">
        <v>70</v>
      </c>
      <c r="G258" s="24">
        <v>4.4000000000000004</v>
      </c>
      <c r="H258">
        <f>IF(MONTH(Table13[[#This Row],[Date of Call]])&lt;6, YEAR(Table13[[#This Row],[Date of Call]]),YEAR(Table13[[#This Row],[Date of Call]])+1)</f>
        <v>2023</v>
      </c>
      <c r="I258" t="str">
        <f>TEXT(Table13[[#This Row],[Date of Call]],"dddd")</f>
        <v>Tuesday</v>
      </c>
      <c r="J2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58">
        <f>ROUND(Table13[[#This Row],[Satisfaction Rating]],0)</f>
        <v>4</v>
      </c>
    </row>
    <row r="259" spans="1:11" x14ac:dyDescent="0.3">
      <c r="A259" s="23" t="s">
        <v>300</v>
      </c>
      <c r="B259" s="6" t="s">
        <v>7</v>
      </c>
      <c r="C259" s="6">
        <v>63</v>
      </c>
      <c r="D259" s="13" t="s">
        <v>30</v>
      </c>
      <c r="E259" s="14">
        <v>45006</v>
      </c>
      <c r="F259" s="6">
        <v>148</v>
      </c>
      <c r="G259" s="24">
        <v>5</v>
      </c>
      <c r="H259">
        <f>IF(MONTH(Table13[[#This Row],[Date of Call]])&lt;6, YEAR(Table13[[#This Row],[Date of Call]]),YEAR(Table13[[#This Row],[Date of Call]])+1)</f>
        <v>2023</v>
      </c>
      <c r="I259" t="str">
        <f>TEXT(Table13[[#This Row],[Date of Call]],"dddd")</f>
        <v>Tuesday</v>
      </c>
      <c r="J2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59">
        <f>ROUND(Table13[[#This Row],[Satisfaction Rating]],0)</f>
        <v>5</v>
      </c>
    </row>
    <row r="260" spans="1:11" x14ac:dyDescent="0.3">
      <c r="A260" s="23" t="s">
        <v>301</v>
      </c>
      <c r="B260" s="6" t="s">
        <v>10</v>
      </c>
      <c r="C260" s="6">
        <v>59</v>
      </c>
      <c r="D260" s="13" t="s">
        <v>28</v>
      </c>
      <c r="E260" s="14">
        <v>45006</v>
      </c>
      <c r="F260" s="6">
        <v>215</v>
      </c>
      <c r="G260" s="24">
        <v>4.0999999999999996</v>
      </c>
      <c r="H260">
        <f>IF(MONTH(Table13[[#This Row],[Date of Call]])&lt;6, YEAR(Table13[[#This Row],[Date of Call]]),YEAR(Table13[[#This Row],[Date of Call]])+1)</f>
        <v>2023</v>
      </c>
      <c r="I260" t="str">
        <f>TEXT(Table13[[#This Row],[Date of Call]],"dddd")</f>
        <v>Tuesday</v>
      </c>
      <c r="J2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60">
        <f>ROUND(Table13[[#This Row],[Satisfaction Rating]],0)</f>
        <v>4</v>
      </c>
    </row>
    <row r="261" spans="1:11" x14ac:dyDescent="0.3">
      <c r="A261" s="23" t="s">
        <v>302</v>
      </c>
      <c r="B261" s="6" t="s">
        <v>10</v>
      </c>
      <c r="C261" s="6">
        <v>144</v>
      </c>
      <c r="D261" s="13" t="s">
        <v>29</v>
      </c>
      <c r="E261" s="14">
        <v>45006</v>
      </c>
      <c r="F261" s="6">
        <v>124</v>
      </c>
      <c r="G261" s="24">
        <v>4.4000000000000004</v>
      </c>
      <c r="H261">
        <f>IF(MONTH(Table13[[#This Row],[Date of Call]])&lt;6, YEAR(Table13[[#This Row],[Date of Call]]),YEAR(Table13[[#This Row],[Date of Call]])+1)</f>
        <v>2023</v>
      </c>
      <c r="I261" t="str">
        <f>TEXT(Table13[[#This Row],[Date of Call]],"dddd")</f>
        <v>Tuesday</v>
      </c>
      <c r="J2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61">
        <f>ROUND(Table13[[#This Row],[Satisfaction Rating]],0)</f>
        <v>4</v>
      </c>
    </row>
    <row r="262" spans="1:11" x14ac:dyDescent="0.3">
      <c r="A262" s="23" t="s">
        <v>303</v>
      </c>
      <c r="B262" s="6" t="s">
        <v>9</v>
      </c>
      <c r="C262" s="6">
        <v>113</v>
      </c>
      <c r="D262" s="13" t="s">
        <v>31</v>
      </c>
      <c r="E262" s="14">
        <v>45006</v>
      </c>
      <c r="F262" s="6">
        <v>168</v>
      </c>
      <c r="G262" s="24">
        <v>4.0999999999999996</v>
      </c>
      <c r="H262">
        <f>IF(MONTH(Table13[[#This Row],[Date of Call]])&lt;6, YEAR(Table13[[#This Row],[Date of Call]]),YEAR(Table13[[#This Row],[Date of Call]])+1)</f>
        <v>2023</v>
      </c>
      <c r="I262" t="str">
        <f>TEXT(Table13[[#This Row],[Date of Call]],"dddd")</f>
        <v>Tuesday</v>
      </c>
      <c r="J2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62">
        <f>ROUND(Table13[[#This Row],[Satisfaction Rating]],0)</f>
        <v>4</v>
      </c>
    </row>
    <row r="263" spans="1:11" x14ac:dyDescent="0.3">
      <c r="A263" s="23" t="s">
        <v>304</v>
      </c>
      <c r="B263" s="6" t="s">
        <v>15</v>
      </c>
      <c r="C263" s="6">
        <v>154</v>
      </c>
      <c r="D263" s="13" t="s">
        <v>32</v>
      </c>
      <c r="E263" s="14">
        <v>45006</v>
      </c>
      <c r="F263" s="6">
        <v>90</v>
      </c>
      <c r="G263" s="24">
        <v>4.5</v>
      </c>
      <c r="H263">
        <f>IF(MONTH(Table13[[#This Row],[Date of Call]])&lt;6, YEAR(Table13[[#This Row],[Date of Call]]),YEAR(Table13[[#This Row],[Date of Call]])+1)</f>
        <v>2023</v>
      </c>
      <c r="I263" t="str">
        <f>TEXT(Table13[[#This Row],[Date of Call]],"dddd")</f>
        <v>Tuesday</v>
      </c>
      <c r="J2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63">
        <f>ROUND(Table13[[#This Row],[Satisfaction Rating]],0)</f>
        <v>5</v>
      </c>
    </row>
    <row r="264" spans="1:11" x14ac:dyDescent="0.3">
      <c r="A264" s="23" t="s">
        <v>305</v>
      </c>
      <c r="B264" s="6" t="s">
        <v>15</v>
      </c>
      <c r="C264" s="6">
        <v>58</v>
      </c>
      <c r="D264" s="13" t="s">
        <v>28</v>
      </c>
      <c r="E264" s="14">
        <v>45007</v>
      </c>
      <c r="F264" s="6">
        <v>176</v>
      </c>
      <c r="G264" s="24">
        <v>4.2</v>
      </c>
      <c r="H264">
        <f>IF(MONTH(Table13[[#This Row],[Date of Call]])&lt;6, YEAR(Table13[[#This Row],[Date of Call]]),YEAR(Table13[[#This Row],[Date of Call]])+1)</f>
        <v>2023</v>
      </c>
      <c r="I264" t="str">
        <f>TEXT(Table13[[#This Row],[Date of Call]],"dddd")</f>
        <v>Wednesday</v>
      </c>
      <c r="J2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64">
        <f>ROUND(Table13[[#This Row],[Satisfaction Rating]],0)</f>
        <v>4</v>
      </c>
    </row>
    <row r="265" spans="1:11" x14ac:dyDescent="0.3">
      <c r="A265" s="23" t="s">
        <v>306</v>
      </c>
      <c r="B265" s="6" t="s">
        <v>14</v>
      </c>
      <c r="C265" s="6">
        <v>63</v>
      </c>
      <c r="D265" s="13" t="s">
        <v>30</v>
      </c>
      <c r="E265" s="14">
        <v>45007</v>
      </c>
      <c r="F265" s="6">
        <v>87</v>
      </c>
      <c r="G265" s="24">
        <v>4.5999999999999996</v>
      </c>
      <c r="H265">
        <f>IF(MONTH(Table13[[#This Row],[Date of Call]])&lt;6, YEAR(Table13[[#This Row],[Date of Call]]),YEAR(Table13[[#This Row],[Date of Call]])+1)</f>
        <v>2023</v>
      </c>
      <c r="I265" t="str">
        <f>TEXT(Table13[[#This Row],[Date of Call]],"dddd")</f>
        <v>Wednesday</v>
      </c>
      <c r="J2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65">
        <f>ROUND(Table13[[#This Row],[Satisfaction Rating]],0)</f>
        <v>5</v>
      </c>
    </row>
    <row r="266" spans="1:11" x14ac:dyDescent="0.3">
      <c r="A266" s="23" t="s">
        <v>307</v>
      </c>
      <c r="B266" s="6" t="s">
        <v>12</v>
      </c>
      <c r="C266" s="6">
        <v>59</v>
      </c>
      <c r="D266" s="13" t="s">
        <v>29</v>
      </c>
      <c r="E266" s="14">
        <v>45007</v>
      </c>
      <c r="F266" s="6">
        <v>128</v>
      </c>
      <c r="G266" s="24">
        <v>4.5</v>
      </c>
      <c r="H266">
        <f>IF(MONTH(Table13[[#This Row],[Date of Call]])&lt;6, YEAR(Table13[[#This Row],[Date of Call]]),YEAR(Table13[[#This Row],[Date of Call]])+1)</f>
        <v>2023</v>
      </c>
      <c r="I266" t="str">
        <f>TEXT(Table13[[#This Row],[Date of Call]],"dddd")</f>
        <v>Wednesday</v>
      </c>
      <c r="J2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66">
        <f>ROUND(Table13[[#This Row],[Satisfaction Rating]],0)</f>
        <v>5</v>
      </c>
    </row>
    <row r="267" spans="1:11" x14ac:dyDescent="0.3">
      <c r="A267" s="23" t="s">
        <v>308</v>
      </c>
      <c r="B267" s="6" t="s">
        <v>11</v>
      </c>
      <c r="C267" s="6">
        <v>129</v>
      </c>
      <c r="D267" s="13" t="s">
        <v>30</v>
      </c>
      <c r="E267" s="14">
        <v>45007</v>
      </c>
      <c r="F267" s="6">
        <v>120</v>
      </c>
      <c r="G267" s="24">
        <v>4.0999999999999996</v>
      </c>
      <c r="H267">
        <f>IF(MONTH(Table13[[#This Row],[Date of Call]])&lt;6, YEAR(Table13[[#This Row],[Date of Call]]),YEAR(Table13[[#This Row],[Date of Call]])+1)</f>
        <v>2023</v>
      </c>
      <c r="I267" t="str">
        <f>TEXT(Table13[[#This Row],[Date of Call]],"dddd")</f>
        <v>Wednesday</v>
      </c>
      <c r="J2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67">
        <f>ROUND(Table13[[#This Row],[Satisfaction Rating]],0)</f>
        <v>4</v>
      </c>
    </row>
    <row r="268" spans="1:11" x14ac:dyDescent="0.3">
      <c r="A268" s="23" t="s">
        <v>309</v>
      </c>
      <c r="B268" s="6" t="s">
        <v>5</v>
      </c>
      <c r="C268" s="6">
        <v>101</v>
      </c>
      <c r="D268" s="13" t="s">
        <v>31</v>
      </c>
      <c r="E268" s="14">
        <v>45007</v>
      </c>
      <c r="F268" s="6">
        <v>130</v>
      </c>
      <c r="G268" s="24">
        <v>4.8</v>
      </c>
      <c r="H268">
        <f>IF(MONTH(Table13[[#This Row],[Date of Call]])&lt;6, YEAR(Table13[[#This Row],[Date of Call]]),YEAR(Table13[[#This Row],[Date of Call]])+1)</f>
        <v>2023</v>
      </c>
      <c r="I268" t="str">
        <f>TEXT(Table13[[#This Row],[Date of Call]],"dddd")</f>
        <v>Wednesday</v>
      </c>
      <c r="J2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68">
        <f>ROUND(Table13[[#This Row],[Satisfaction Rating]],0)</f>
        <v>5</v>
      </c>
    </row>
    <row r="269" spans="1:11" x14ac:dyDescent="0.3">
      <c r="A269" s="23" t="s">
        <v>310</v>
      </c>
      <c r="B269" s="6" t="s">
        <v>18</v>
      </c>
      <c r="C269" s="6">
        <v>154</v>
      </c>
      <c r="D269" s="13" t="s">
        <v>29</v>
      </c>
      <c r="E269" s="14">
        <v>45007</v>
      </c>
      <c r="F269" s="6">
        <v>172</v>
      </c>
      <c r="G269" s="24">
        <v>3.1</v>
      </c>
      <c r="H269">
        <f>IF(MONTH(Table13[[#This Row],[Date of Call]])&lt;6, YEAR(Table13[[#This Row],[Date of Call]]),YEAR(Table13[[#This Row],[Date of Call]])+1)</f>
        <v>2023</v>
      </c>
      <c r="I269" t="str">
        <f>TEXT(Table13[[#This Row],[Date of Call]],"dddd")</f>
        <v>Wednesday</v>
      </c>
      <c r="J2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69">
        <f>ROUND(Table13[[#This Row],[Satisfaction Rating]],0)</f>
        <v>3</v>
      </c>
    </row>
    <row r="270" spans="1:11" x14ac:dyDescent="0.3">
      <c r="A270" s="23" t="s">
        <v>311</v>
      </c>
      <c r="B270" s="6" t="s">
        <v>13</v>
      </c>
      <c r="C270" s="6">
        <v>131</v>
      </c>
      <c r="D270" s="13" t="s">
        <v>29</v>
      </c>
      <c r="E270" s="14">
        <v>45007</v>
      </c>
      <c r="F270" s="6">
        <v>58</v>
      </c>
      <c r="G270" s="24">
        <v>4.9000000000000004</v>
      </c>
      <c r="H270">
        <f>IF(MONTH(Table13[[#This Row],[Date of Call]])&lt;6, YEAR(Table13[[#This Row],[Date of Call]]),YEAR(Table13[[#This Row],[Date of Call]])+1)</f>
        <v>2023</v>
      </c>
      <c r="I270" t="str">
        <f>TEXT(Table13[[#This Row],[Date of Call]],"dddd")</f>
        <v>Wednesday</v>
      </c>
      <c r="J2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70">
        <f>ROUND(Table13[[#This Row],[Satisfaction Rating]],0)</f>
        <v>5</v>
      </c>
    </row>
    <row r="271" spans="1:11" x14ac:dyDescent="0.3">
      <c r="A271" s="23" t="s">
        <v>312</v>
      </c>
      <c r="B271" s="6" t="s">
        <v>10</v>
      </c>
      <c r="C271" s="6">
        <v>111</v>
      </c>
      <c r="D271" s="13" t="s">
        <v>31</v>
      </c>
      <c r="E271" s="14">
        <v>45008</v>
      </c>
      <c r="F271" s="6">
        <v>86</v>
      </c>
      <c r="G271" s="24">
        <v>4.0999999999999996</v>
      </c>
      <c r="H271">
        <f>IF(MONTH(Table13[[#This Row],[Date of Call]])&lt;6, YEAR(Table13[[#This Row],[Date of Call]]),YEAR(Table13[[#This Row],[Date of Call]])+1)</f>
        <v>2023</v>
      </c>
      <c r="I271" t="str">
        <f>TEXT(Table13[[#This Row],[Date of Call]],"dddd")</f>
        <v>Thursday</v>
      </c>
      <c r="J2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71">
        <f>ROUND(Table13[[#This Row],[Satisfaction Rating]],0)</f>
        <v>4</v>
      </c>
    </row>
    <row r="272" spans="1:11" x14ac:dyDescent="0.3">
      <c r="A272" s="23" t="s">
        <v>313</v>
      </c>
      <c r="B272" s="6" t="s">
        <v>15</v>
      </c>
      <c r="C272" s="6">
        <v>142</v>
      </c>
      <c r="D272" s="13" t="s">
        <v>31</v>
      </c>
      <c r="E272" s="14">
        <v>45009</v>
      </c>
      <c r="F272" s="6">
        <v>31</v>
      </c>
      <c r="G272" s="24">
        <v>4.4000000000000004</v>
      </c>
      <c r="H272">
        <f>IF(MONTH(Table13[[#This Row],[Date of Call]])&lt;6, YEAR(Table13[[#This Row],[Date of Call]]),YEAR(Table13[[#This Row],[Date of Call]])+1)</f>
        <v>2023</v>
      </c>
      <c r="I272" t="str">
        <f>TEXT(Table13[[#This Row],[Date of Call]],"dddd")</f>
        <v>Friday</v>
      </c>
      <c r="J2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72">
        <f>ROUND(Table13[[#This Row],[Satisfaction Rating]],0)</f>
        <v>4</v>
      </c>
    </row>
    <row r="273" spans="1:11" x14ac:dyDescent="0.3">
      <c r="A273" s="23" t="s">
        <v>314</v>
      </c>
      <c r="B273" s="6" t="s">
        <v>8</v>
      </c>
      <c r="C273" s="6">
        <v>93</v>
      </c>
      <c r="D273" s="13" t="s">
        <v>30</v>
      </c>
      <c r="E273" s="14">
        <v>45009</v>
      </c>
      <c r="F273" s="6">
        <v>72</v>
      </c>
      <c r="G273" s="24">
        <v>4.4000000000000004</v>
      </c>
      <c r="H273">
        <f>IF(MONTH(Table13[[#This Row],[Date of Call]])&lt;6, YEAR(Table13[[#This Row],[Date of Call]]),YEAR(Table13[[#This Row],[Date of Call]])+1)</f>
        <v>2023</v>
      </c>
      <c r="I273" t="str">
        <f>TEXT(Table13[[#This Row],[Date of Call]],"dddd")</f>
        <v>Friday</v>
      </c>
      <c r="J2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73">
        <f>ROUND(Table13[[#This Row],[Satisfaction Rating]],0)</f>
        <v>4</v>
      </c>
    </row>
    <row r="274" spans="1:11" x14ac:dyDescent="0.3">
      <c r="A274" s="23" t="s">
        <v>315</v>
      </c>
      <c r="B274" s="6" t="s">
        <v>15</v>
      </c>
      <c r="C274" s="6">
        <v>125</v>
      </c>
      <c r="D274" s="13" t="s">
        <v>32</v>
      </c>
      <c r="E274" s="14">
        <v>45010</v>
      </c>
      <c r="F274" s="6">
        <v>27</v>
      </c>
      <c r="G274" s="24">
        <v>3</v>
      </c>
      <c r="H274">
        <f>IF(MONTH(Table13[[#This Row],[Date of Call]])&lt;6, YEAR(Table13[[#This Row],[Date of Call]]),YEAR(Table13[[#This Row],[Date of Call]])+1)</f>
        <v>2023</v>
      </c>
      <c r="I274" t="str">
        <f>TEXT(Table13[[#This Row],[Date of Call]],"dddd")</f>
        <v>Saturday</v>
      </c>
      <c r="J2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74">
        <f>ROUND(Table13[[#This Row],[Satisfaction Rating]],0)</f>
        <v>3</v>
      </c>
    </row>
    <row r="275" spans="1:11" x14ac:dyDescent="0.3">
      <c r="A275" s="23" t="s">
        <v>316</v>
      </c>
      <c r="B275" s="6" t="s">
        <v>11</v>
      </c>
      <c r="C275" s="6">
        <v>76</v>
      </c>
      <c r="D275" s="13" t="s">
        <v>29</v>
      </c>
      <c r="E275" s="14">
        <v>45010</v>
      </c>
      <c r="F275" s="6">
        <v>110</v>
      </c>
      <c r="G275" s="24">
        <v>4.4000000000000004</v>
      </c>
      <c r="H275">
        <f>IF(MONTH(Table13[[#This Row],[Date of Call]])&lt;6, YEAR(Table13[[#This Row],[Date of Call]]),YEAR(Table13[[#This Row],[Date of Call]])+1)</f>
        <v>2023</v>
      </c>
      <c r="I275" t="str">
        <f>TEXT(Table13[[#This Row],[Date of Call]],"dddd")</f>
        <v>Saturday</v>
      </c>
      <c r="J2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75">
        <f>ROUND(Table13[[#This Row],[Satisfaction Rating]],0)</f>
        <v>4</v>
      </c>
    </row>
    <row r="276" spans="1:11" x14ac:dyDescent="0.3">
      <c r="A276" s="23" t="s">
        <v>317</v>
      </c>
      <c r="B276" s="6" t="s">
        <v>9</v>
      </c>
      <c r="C276" s="6">
        <v>69</v>
      </c>
      <c r="D276" s="13" t="s">
        <v>30</v>
      </c>
      <c r="E276" s="14">
        <v>45010</v>
      </c>
      <c r="F276" s="6">
        <v>126</v>
      </c>
      <c r="G276" s="24">
        <v>3.7</v>
      </c>
      <c r="H276">
        <f>IF(MONTH(Table13[[#This Row],[Date of Call]])&lt;6, YEAR(Table13[[#This Row],[Date of Call]]),YEAR(Table13[[#This Row],[Date of Call]])+1)</f>
        <v>2023</v>
      </c>
      <c r="I276" t="str">
        <f>TEXT(Table13[[#This Row],[Date of Call]],"dddd")</f>
        <v>Saturday</v>
      </c>
      <c r="J2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76">
        <f>ROUND(Table13[[#This Row],[Satisfaction Rating]],0)</f>
        <v>4</v>
      </c>
    </row>
    <row r="277" spans="1:11" x14ac:dyDescent="0.3">
      <c r="A277" s="23" t="s">
        <v>318</v>
      </c>
      <c r="B277" s="6" t="s">
        <v>12</v>
      </c>
      <c r="C277" s="6">
        <v>149</v>
      </c>
      <c r="D277" s="13" t="s">
        <v>32</v>
      </c>
      <c r="E277" s="14">
        <v>45010</v>
      </c>
      <c r="F277" s="6">
        <v>60</v>
      </c>
      <c r="G277" s="24">
        <v>3.9</v>
      </c>
      <c r="H277">
        <f>IF(MONTH(Table13[[#This Row],[Date of Call]])&lt;6, YEAR(Table13[[#This Row],[Date of Call]]),YEAR(Table13[[#This Row],[Date of Call]])+1)</f>
        <v>2023</v>
      </c>
      <c r="I277" t="str">
        <f>TEXT(Table13[[#This Row],[Date of Call]],"dddd")</f>
        <v>Saturday</v>
      </c>
      <c r="J2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77">
        <f>ROUND(Table13[[#This Row],[Satisfaction Rating]],0)</f>
        <v>4</v>
      </c>
    </row>
    <row r="278" spans="1:11" x14ac:dyDescent="0.3">
      <c r="A278" s="23" t="s">
        <v>319</v>
      </c>
      <c r="B278" s="6" t="s">
        <v>15</v>
      </c>
      <c r="C278" s="6">
        <v>57</v>
      </c>
      <c r="D278" s="13" t="s">
        <v>30</v>
      </c>
      <c r="E278" s="14">
        <v>45010</v>
      </c>
      <c r="F278" s="6">
        <v>35</v>
      </c>
      <c r="G278" s="24">
        <v>3.5</v>
      </c>
      <c r="H278">
        <f>IF(MONTH(Table13[[#This Row],[Date of Call]])&lt;6, YEAR(Table13[[#This Row],[Date of Call]]),YEAR(Table13[[#This Row],[Date of Call]])+1)</f>
        <v>2023</v>
      </c>
      <c r="I278" t="str">
        <f>TEXT(Table13[[#This Row],[Date of Call]],"dddd")</f>
        <v>Saturday</v>
      </c>
      <c r="J2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78">
        <f>ROUND(Table13[[#This Row],[Satisfaction Rating]],0)</f>
        <v>4</v>
      </c>
    </row>
    <row r="279" spans="1:11" x14ac:dyDescent="0.3">
      <c r="A279" s="23" t="s">
        <v>320</v>
      </c>
      <c r="B279" s="6" t="s">
        <v>7</v>
      </c>
      <c r="C279" s="6">
        <v>113</v>
      </c>
      <c r="D279" s="13" t="s">
        <v>29</v>
      </c>
      <c r="E279" s="14">
        <v>45010</v>
      </c>
      <c r="F279" s="6">
        <v>81</v>
      </c>
      <c r="G279" s="24">
        <v>3.5</v>
      </c>
      <c r="H279">
        <f>IF(MONTH(Table13[[#This Row],[Date of Call]])&lt;6, YEAR(Table13[[#This Row],[Date of Call]]),YEAR(Table13[[#This Row],[Date of Call]])+1)</f>
        <v>2023</v>
      </c>
      <c r="I279" t="str">
        <f>TEXT(Table13[[#This Row],[Date of Call]],"dddd")</f>
        <v>Saturday</v>
      </c>
      <c r="J2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79">
        <f>ROUND(Table13[[#This Row],[Satisfaction Rating]],0)</f>
        <v>4</v>
      </c>
    </row>
    <row r="280" spans="1:11" x14ac:dyDescent="0.3">
      <c r="A280" s="23" t="s">
        <v>321</v>
      </c>
      <c r="B280" s="6" t="s">
        <v>6</v>
      </c>
      <c r="C280" s="6">
        <v>160</v>
      </c>
      <c r="D280" s="13" t="s">
        <v>32</v>
      </c>
      <c r="E280" s="14">
        <v>45010</v>
      </c>
      <c r="F280" s="6">
        <v>116</v>
      </c>
      <c r="G280" s="24">
        <v>3.4</v>
      </c>
      <c r="H280">
        <f>IF(MONTH(Table13[[#This Row],[Date of Call]])&lt;6, YEAR(Table13[[#This Row],[Date of Call]]),YEAR(Table13[[#This Row],[Date of Call]])+1)</f>
        <v>2023</v>
      </c>
      <c r="I280" t="str">
        <f>TEXT(Table13[[#This Row],[Date of Call]],"dddd")</f>
        <v>Saturday</v>
      </c>
      <c r="J2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80">
        <f>ROUND(Table13[[#This Row],[Satisfaction Rating]],0)</f>
        <v>3</v>
      </c>
    </row>
    <row r="281" spans="1:11" x14ac:dyDescent="0.3">
      <c r="A281" s="23" t="s">
        <v>322</v>
      </c>
      <c r="B281" s="6" t="s">
        <v>14</v>
      </c>
      <c r="C281" s="6">
        <v>158</v>
      </c>
      <c r="D281" s="13" t="s">
        <v>28</v>
      </c>
      <c r="E281" s="14">
        <v>45010</v>
      </c>
      <c r="F281" s="6">
        <v>60</v>
      </c>
      <c r="G281" s="24">
        <v>4.5</v>
      </c>
      <c r="H281">
        <f>IF(MONTH(Table13[[#This Row],[Date of Call]])&lt;6, YEAR(Table13[[#This Row],[Date of Call]]),YEAR(Table13[[#This Row],[Date of Call]])+1)</f>
        <v>2023</v>
      </c>
      <c r="I281" t="str">
        <f>TEXT(Table13[[#This Row],[Date of Call]],"dddd")</f>
        <v>Saturday</v>
      </c>
      <c r="J2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81">
        <f>ROUND(Table13[[#This Row],[Satisfaction Rating]],0)</f>
        <v>5</v>
      </c>
    </row>
    <row r="282" spans="1:11" x14ac:dyDescent="0.3">
      <c r="A282" s="23" t="s">
        <v>323</v>
      </c>
      <c r="B282" s="6" t="s">
        <v>9</v>
      </c>
      <c r="C282" s="6">
        <v>77</v>
      </c>
      <c r="D282" s="13" t="s">
        <v>32</v>
      </c>
      <c r="E282" s="14">
        <v>45011</v>
      </c>
      <c r="F282" s="6">
        <v>130</v>
      </c>
      <c r="G282" s="24">
        <v>4.2</v>
      </c>
      <c r="H282">
        <f>IF(MONTH(Table13[[#This Row],[Date of Call]])&lt;6, YEAR(Table13[[#This Row],[Date of Call]]),YEAR(Table13[[#This Row],[Date of Call]])+1)</f>
        <v>2023</v>
      </c>
      <c r="I282" t="str">
        <f>TEXT(Table13[[#This Row],[Date of Call]],"dddd")</f>
        <v>Sunday</v>
      </c>
      <c r="J2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82">
        <f>ROUND(Table13[[#This Row],[Satisfaction Rating]],0)</f>
        <v>4</v>
      </c>
    </row>
    <row r="283" spans="1:11" x14ac:dyDescent="0.3">
      <c r="A283" s="23" t="s">
        <v>324</v>
      </c>
      <c r="B283" s="6" t="s">
        <v>16</v>
      </c>
      <c r="C283" s="6">
        <v>118</v>
      </c>
      <c r="D283" s="13" t="s">
        <v>31</v>
      </c>
      <c r="E283" s="14">
        <v>45011</v>
      </c>
      <c r="F283" s="6">
        <v>99</v>
      </c>
      <c r="G283" s="24">
        <v>5</v>
      </c>
      <c r="H283">
        <f>IF(MONTH(Table13[[#This Row],[Date of Call]])&lt;6, YEAR(Table13[[#This Row],[Date of Call]]),YEAR(Table13[[#This Row],[Date of Call]])+1)</f>
        <v>2023</v>
      </c>
      <c r="I283" t="str">
        <f>TEXT(Table13[[#This Row],[Date of Call]],"dddd")</f>
        <v>Sunday</v>
      </c>
      <c r="J2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83">
        <f>ROUND(Table13[[#This Row],[Satisfaction Rating]],0)</f>
        <v>5</v>
      </c>
    </row>
    <row r="284" spans="1:11" x14ac:dyDescent="0.3">
      <c r="A284" s="23" t="s">
        <v>325</v>
      </c>
      <c r="B284" s="6" t="s">
        <v>18</v>
      </c>
      <c r="C284" s="6">
        <v>75</v>
      </c>
      <c r="D284" s="13" t="s">
        <v>29</v>
      </c>
      <c r="E284" s="14">
        <v>45011</v>
      </c>
      <c r="F284" s="6">
        <v>135</v>
      </c>
      <c r="G284" s="24">
        <v>4.7</v>
      </c>
      <c r="H284">
        <f>IF(MONTH(Table13[[#This Row],[Date of Call]])&lt;6, YEAR(Table13[[#This Row],[Date of Call]]),YEAR(Table13[[#This Row],[Date of Call]])+1)</f>
        <v>2023</v>
      </c>
      <c r="I284" t="str">
        <f>TEXT(Table13[[#This Row],[Date of Call]],"dddd")</f>
        <v>Sunday</v>
      </c>
      <c r="J2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84">
        <f>ROUND(Table13[[#This Row],[Satisfaction Rating]],0)</f>
        <v>5</v>
      </c>
    </row>
    <row r="285" spans="1:11" x14ac:dyDescent="0.3">
      <c r="A285" s="23" t="s">
        <v>326</v>
      </c>
      <c r="B285" s="6" t="s">
        <v>7</v>
      </c>
      <c r="C285" s="6">
        <v>103</v>
      </c>
      <c r="D285" s="13" t="s">
        <v>32</v>
      </c>
      <c r="E285" s="14">
        <v>45011</v>
      </c>
      <c r="F285" s="6">
        <v>42</v>
      </c>
      <c r="G285" s="24">
        <v>2.8</v>
      </c>
      <c r="H285">
        <f>IF(MONTH(Table13[[#This Row],[Date of Call]])&lt;6, YEAR(Table13[[#This Row],[Date of Call]]),YEAR(Table13[[#This Row],[Date of Call]])+1)</f>
        <v>2023</v>
      </c>
      <c r="I285" t="str">
        <f>TEXT(Table13[[#This Row],[Date of Call]],"dddd")</f>
        <v>Sunday</v>
      </c>
      <c r="J2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85">
        <f>ROUND(Table13[[#This Row],[Satisfaction Rating]],0)</f>
        <v>3</v>
      </c>
    </row>
    <row r="286" spans="1:11" x14ac:dyDescent="0.3">
      <c r="A286" s="23" t="s">
        <v>327</v>
      </c>
      <c r="B286" s="6" t="s">
        <v>9</v>
      </c>
      <c r="C286" s="6">
        <v>116</v>
      </c>
      <c r="D286" s="13" t="s">
        <v>31</v>
      </c>
      <c r="E286" s="14">
        <v>45012</v>
      </c>
      <c r="F286" s="6">
        <v>63</v>
      </c>
      <c r="G286" s="24">
        <v>3.4</v>
      </c>
      <c r="H286">
        <f>IF(MONTH(Table13[[#This Row],[Date of Call]])&lt;6, YEAR(Table13[[#This Row],[Date of Call]]),YEAR(Table13[[#This Row],[Date of Call]])+1)</f>
        <v>2023</v>
      </c>
      <c r="I286" t="str">
        <f>TEXT(Table13[[#This Row],[Date of Call]],"dddd")</f>
        <v>Monday</v>
      </c>
      <c r="J2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86">
        <f>ROUND(Table13[[#This Row],[Satisfaction Rating]],0)</f>
        <v>3</v>
      </c>
    </row>
    <row r="287" spans="1:11" x14ac:dyDescent="0.3">
      <c r="A287" s="23" t="s">
        <v>328</v>
      </c>
      <c r="B287" s="6" t="s">
        <v>10</v>
      </c>
      <c r="C287" s="6">
        <v>61</v>
      </c>
      <c r="D287" s="13" t="s">
        <v>28</v>
      </c>
      <c r="E287" s="14">
        <v>45012</v>
      </c>
      <c r="F287" s="6">
        <v>140</v>
      </c>
      <c r="G287" s="24">
        <v>1.8</v>
      </c>
      <c r="H287">
        <f>IF(MONTH(Table13[[#This Row],[Date of Call]])&lt;6, YEAR(Table13[[#This Row],[Date of Call]]),YEAR(Table13[[#This Row],[Date of Call]])+1)</f>
        <v>2023</v>
      </c>
      <c r="I287" t="str">
        <f>TEXT(Table13[[#This Row],[Date of Call]],"dddd")</f>
        <v>Monday</v>
      </c>
      <c r="J2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87">
        <f>ROUND(Table13[[#This Row],[Satisfaction Rating]],0)</f>
        <v>2</v>
      </c>
    </row>
    <row r="288" spans="1:11" x14ac:dyDescent="0.3">
      <c r="A288" s="23" t="s">
        <v>329</v>
      </c>
      <c r="B288" s="6" t="s">
        <v>15</v>
      </c>
      <c r="C288" s="6">
        <v>126</v>
      </c>
      <c r="D288" s="13" t="s">
        <v>29</v>
      </c>
      <c r="E288" s="14">
        <v>45012</v>
      </c>
      <c r="F288" s="6">
        <v>128</v>
      </c>
      <c r="G288" s="24">
        <v>4.2</v>
      </c>
      <c r="H288">
        <f>IF(MONTH(Table13[[#This Row],[Date of Call]])&lt;6, YEAR(Table13[[#This Row],[Date of Call]]),YEAR(Table13[[#This Row],[Date of Call]])+1)</f>
        <v>2023</v>
      </c>
      <c r="I288" t="str">
        <f>TEXT(Table13[[#This Row],[Date of Call]],"dddd")</f>
        <v>Monday</v>
      </c>
      <c r="J2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88">
        <f>ROUND(Table13[[#This Row],[Satisfaction Rating]],0)</f>
        <v>4</v>
      </c>
    </row>
    <row r="289" spans="1:11" x14ac:dyDescent="0.3">
      <c r="A289" s="23" t="s">
        <v>330</v>
      </c>
      <c r="B289" s="6" t="s">
        <v>5</v>
      </c>
      <c r="C289" s="6">
        <v>141</v>
      </c>
      <c r="D289" s="13" t="s">
        <v>30</v>
      </c>
      <c r="E289" s="14">
        <v>45012</v>
      </c>
      <c r="F289" s="6">
        <v>80</v>
      </c>
      <c r="G289" s="24">
        <v>4.4000000000000004</v>
      </c>
      <c r="H289">
        <f>IF(MONTH(Table13[[#This Row],[Date of Call]])&lt;6, YEAR(Table13[[#This Row],[Date of Call]]),YEAR(Table13[[#This Row],[Date of Call]])+1)</f>
        <v>2023</v>
      </c>
      <c r="I289" t="str">
        <f>TEXT(Table13[[#This Row],[Date of Call]],"dddd")</f>
        <v>Monday</v>
      </c>
      <c r="J2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89">
        <f>ROUND(Table13[[#This Row],[Satisfaction Rating]],0)</f>
        <v>4</v>
      </c>
    </row>
    <row r="290" spans="1:11" x14ac:dyDescent="0.3">
      <c r="A290" s="23" t="s">
        <v>331</v>
      </c>
      <c r="B290" s="6" t="s">
        <v>14</v>
      </c>
      <c r="C290" s="6">
        <v>95</v>
      </c>
      <c r="D290" s="13" t="s">
        <v>31</v>
      </c>
      <c r="E290" s="14">
        <v>45012</v>
      </c>
      <c r="F290" s="6">
        <v>28</v>
      </c>
      <c r="G290" s="24">
        <v>2.7</v>
      </c>
      <c r="H290">
        <f>IF(MONTH(Table13[[#This Row],[Date of Call]])&lt;6, YEAR(Table13[[#This Row],[Date of Call]]),YEAR(Table13[[#This Row],[Date of Call]])+1)</f>
        <v>2023</v>
      </c>
      <c r="I290" t="str">
        <f>TEXT(Table13[[#This Row],[Date of Call]],"dddd")</f>
        <v>Monday</v>
      </c>
      <c r="J2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90">
        <f>ROUND(Table13[[#This Row],[Satisfaction Rating]],0)</f>
        <v>3</v>
      </c>
    </row>
    <row r="291" spans="1:11" x14ac:dyDescent="0.3">
      <c r="A291" s="23" t="s">
        <v>332</v>
      </c>
      <c r="B291" s="6" t="s">
        <v>18</v>
      </c>
      <c r="C291" s="6">
        <v>39</v>
      </c>
      <c r="D291" s="13" t="s">
        <v>28</v>
      </c>
      <c r="E291" s="14">
        <v>45013</v>
      </c>
      <c r="F291" s="6">
        <v>81</v>
      </c>
      <c r="G291" s="24">
        <v>5</v>
      </c>
      <c r="H291">
        <f>IF(MONTH(Table13[[#This Row],[Date of Call]])&lt;6, YEAR(Table13[[#This Row],[Date of Call]]),YEAR(Table13[[#This Row],[Date of Call]])+1)</f>
        <v>2023</v>
      </c>
      <c r="I291" t="str">
        <f>TEXT(Table13[[#This Row],[Date of Call]],"dddd")</f>
        <v>Tuesday</v>
      </c>
      <c r="J2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1">
        <f>ROUND(Table13[[#This Row],[Satisfaction Rating]],0)</f>
        <v>5</v>
      </c>
    </row>
    <row r="292" spans="1:11" x14ac:dyDescent="0.3">
      <c r="A292" s="23" t="s">
        <v>333</v>
      </c>
      <c r="B292" s="6" t="s">
        <v>7</v>
      </c>
      <c r="C292" s="6">
        <v>127</v>
      </c>
      <c r="D292" s="13" t="s">
        <v>29</v>
      </c>
      <c r="E292" s="14">
        <v>45013</v>
      </c>
      <c r="F292" s="6">
        <v>99</v>
      </c>
      <c r="G292" s="24">
        <v>3.9</v>
      </c>
      <c r="H292">
        <f>IF(MONTH(Table13[[#This Row],[Date of Call]])&lt;6, YEAR(Table13[[#This Row],[Date of Call]]),YEAR(Table13[[#This Row],[Date of Call]])+1)</f>
        <v>2023</v>
      </c>
      <c r="I292" t="str">
        <f>TEXT(Table13[[#This Row],[Date of Call]],"dddd")</f>
        <v>Tuesday</v>
      </c>
      <c r="J2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292">
        <f>ROUND(Table13[[#This Row],[Satisfaction Rating]],0)</f>
        <v>4</v>
      </c>
    </row>
    <row r="293" spans="1:11" x14ac:dyDescent="0.3">
      <c r="A293" s="23" t="s">
        <v>334</v>
      </c>
      <c r="B293" s="6" t="s">
        <v>10</v>
      </c>
      <c r="C293" s="6">
        <v>78</v>
      </c>
      <c r="D293" s="13" t="s">
        <v>29</v>
      </c>
      <c r="E293" s="14">
        <v>45013</v>
      </c>
      <c r="F293" s="6">
        <v>43</v>
      </c>
      <c r="G293" s="24">
        <v>3.8</v>
      </c>
      <c r="H293">
        <f>IF(MONTH(Table13[[#This Row],[Date of Call]])&lt;6, YEAR(Table13[[#This Row],[Date of Call]]),YEAR(Table13[[#This Row],[Date of Call]])+1)</f>
        <v>2023</v>
      </c>
      <c r="I293" t="str">
        <f>TEXT(Table13[[#This Row],[Date of Call]],"dddd")</f>
        <v>Tuesday</v>
      </c>
      <c r="J2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93">
        <f>ROUND(Table13[[#This Row],[Satisfaction Rating]],0)</f>
        <v>4</v>
      </c>
    </row>
    <row r="294" spans="1:11" x14ac:dyDescent="0.3">
      <c r="A294" s="23" t="s">
        <v>335</v>
      </c>
      <c r="B294" s="6" t="s">
        <v>16</v>
      </c>
      <c r="C294" s="6">
        <v>40</v>
      </c>
      <c r="D294" s="13" t="s">
        <v>29</v>
      </c>
      <c r="E294" s="14">
        <v>45013</v>
      </c>
      <c r="F294" s="6">
        <v>34</v>
      </c>
      <c r="G294" s="24">
        <v>4.5999999999999996</v>
      </c>
      <c r="H294">
        <f>IF(MONTH(Table13[[#This Row],[Date of Call]])&lt;6, YEAR(Table13[[#This Row],[Date of Call]]),YEAR(Table13[[#This Row],[Date of Call]])+1)</f>
        <v>2023</v>
      </c>
      <c r="I294" t="str">
        <f>TEXT(Table13[[#This Row],[Date of Call]],"dddd")</f>
        <v>Tuesday</v>
      </c>
      <c r="J2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4">
        <f>ROUND(Table13[[#This Row],[Satisfaction Rating]],0)</f>
        <v>5</v>
      </c>
    </row>
    <row r="295" spans="1:11" x14ac:dyDescent="0.3">
      <c r="A295" s="23" t="s">
        <v>336</v>
      </c>
      <c r="B295" s="6" t="s">
        <v>10</v>
      </c>
      <c r="C295" s="6">
        <v>56</v>
      </c>
      <c r="D295" s="13" t="s">
        <v>28</v>
      </c>
      <c r="E295" s="14">
        <v>45013</v>
      </c>
      <c r="F295" s="6">
        <v>225</v>
      </c>
      <c r="G295" s="24">
        <v>4.5999999999999996</v>
      </c>
      <c r="H295">
        <f>IF(MONTH(Table13[[#This Row],[Date of Call]])&lt;6, YEAR(Table13[[#This Row],[Date of Call]]),YEAR(Table13[[#This Row],[Date of Call]])+1)</f>
        <v>2023</v>
      </c>
      <c r="I295" t="str">
        <f>TEXT(Table13[[#This Row],[Date of Call]],"dddd")</f>
        <v>Tuesday</v>
      </c>
      <c r="J2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5">
        <f>ROUND(Table13[[#This Row],[Satisfaction Rating]],0)</f>
        <v>5</v>
      </c>
    </row>
    <row r="296" spans="1:11" x14ac:dyDescent="0.3">
      <c r="A296" s="23" t="s">
        <v>337</v>
      </c>
      <c r="B296" s="6" t="s">
        <v>18</v>
      </c>
      <c r="C296" s="6">
        <v>59</v>
      </c>
      <c r="D296" s="13" t="s">
        <v>30</v>
      </c>
      <c r="E296" s="14">
        <v>45013</v>
      </c>
      <c r="F296" s="6">
        <v>210</v>
      </c>
      <c r="G296" s="24">
        <v>4.5</v>
      </c>
      <c r="H296">
        <f>IF(MONTH(Table13[[#This Row],[Date of Call]])&lt;6, YEAR(Table13[[#This Row],[Date of Call]]),YEAR(Table13[[#This Row],[Date of Call]])+1)</f>
        <v>2023</v>
      </c>
      <c r="I296" t="str">
        <f>TEXT(Table13[[#This Row],[Date of Call]],"dddd")</f>
        <v>Tuesday</v>
      </c>
      <c r="J2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6">
        <f>ROUND(Table13[[#This Row],[Satisfaction Rating]],0)</f>
        <v>5</v>
      </c>
    </row>
    <row r="297" spans="1:11" x14ac:dyDescent="0.3">
      <c r="A297" s="23" t="s">
        <v>338</v>
      </c>
      <c r="B297" s="6" t="s">
        <v>15</v>
      </c>
      <c r="C297" s="6">
        <v>30</v>
      </c>
      <c r="D297" s="13" t="s">
        <v>29</v>
      </c>
      <c r="E297" s="14">
        <v>45013</v>
      </c>
      <c r="F297" s="6">
        <v>168</v>
      </c>
      <c r="G297" s="24">
        <v>4.2</v>
      </c>
      <c r="H297">
        <f>IF(MONTH(Table13[[#This Row],[Date of Call]])&lt;6, YEAR(Table13[[#This Row],[Date of Call]]),YEAR(Table13[[#This Row],[Date of Call]])+1)</f>
        <v>2023</v>
      </c>
      <c r="I297" t="str">
        <f>TEXT(Table13[[#This Row],[Date of Call]],"dddd")</f>
        <v>Tuesday</v>
      </c>
      <c r="J2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7">
        <f>ROUND(Table13[[#This Row],[Satisfaction Rating]],0)</f>
        <v>4</v>
      </c>
    </row>
    <row r="298" spans="1:11" x14ac:dyDescent="0.3">
      <c r="A298" s="23" t="s">
        <v>339</v>
      </c>
      <c r="B298" s="6" t="s">
        <v>16</v>
      </c>
      <c r="C298" s="6">
        <v>63</v>
      </c>
      <c r="D298" s="13" t="s">
        <v>32</v>
      </c>
      <c r="E298" s="14">
        <v>45014</v>
      </c>
      <c r="F298" s="6">
        <v>82</v>
      </c>
      <c r="G298" s="24">
        <v>4.5</v>
      </c>
      <c r="H298">
        <f>IF(MONTH(Table13[[#This Row],[Date of Call]])&lt;6, YEAR(Table13[[#This Row],[Date of Call]]),YEAR(Table13[[#This Row],[Date of Call]])+1)</f>
        <v>2023</v>
      </c>
      <c r="I298" t="str">
        <f>TEXT(Table13[[#This Row],[Date of Call]],"dddd")</f>
        <v>Wednesday</v>
      </c>
      <c r="J2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298">
        <f>ROUND(Table13[[#This Row],[Satisfaction Rating]],0)</f>
        <v>5</v>
      </c>
    </row>
    <row r="299" spans="1:11" x14ac:dyDescent="0.3">
      <c r="A299" s="23" t="s">
        <v>340</v>
      </c>
      <c r="B299" s="6" t="s">
        <v>8</v>
      </c>
      <c r="C299" s="6">
        <v>56</v>
      </c>
      <c r="D299" s="13" t="s">
        <v>31</v>
      </c>
      <c r="E299" s="14">
        <v>45014</v>
      </c>
      <c r="F299" s="6">
        <v>88</v>
      </c>
      <c r="G299" s="24">
        <v>4.0999999999999996</v>
      </c>
      <c r="H299">
        <f>IF(MONTH(Table13[[#This Row],[Date of Call]])&lt;6, YEAR(Table13[[#This Row],[Date of Call]]),YEAR(Table13[[#This Row],[Date of Call]])+1)</f>
        <v>2023</v>
      </c>
      <c r="I299" t="str">
        <f>TEXT(Table13[[#This Row],[Date of Call]],"dddd")</f>
        <v>Wednesday</v>
      </c>
      <c r="J2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299">
        <f>ROUND(Table13[[#This Row],[Satisfaction Rating]],0)</f>
        <v>4</v>
      </c>
    </row>
    <row r="300" spans="1:11" x14ac:dyDescent="0.3">
      <c r="A300" s="23" t="s">
        <v>341</v>
      </c>
      <c r="B300" s="6" t="s">
        <v>11</v>
      </c>
      <c r="C300" s="6">
        <v>95</v>
      </c>
      <c r="D300" s="13" t="s">
        <v>32</v>
      </c>
      <c r="E300" s="14">
        <v>45014</v>
      </c>
      <c r="F300" s="6">
        <v>111</v>
      </c>
      <c r="G300" s="24">
        <v>3.3</v>
      </c>
      <c r="H300">
        <f>IF(MONTH(Table13[[#This Row],[Date of Call]])&lt;6, YEAR(Table13[[#This Row],[Date of Call]]),YEAR(Table13[[#This Row],[Date of Call]])+1)</f>
        <v>2023</v>
      </c>
      <c r="I300" t="str">
        <f>TEXT(Table13[[#This Row],[Date of Call]],"dddd")</f>
        <v>Wednesday</v>
      </c>
      <c r="J3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00">
        <f>ROUND(Table13[[#This Row],[Satisfaction Rating]],0)</f>
        <v>3</v>
      </c>
    </row>
    <row r="301" spans="1:11" x14ac:dyDescent="0.3">
      <c r="A301" s="23" t="s">
        <v>342</v>
      </c>
      <c r="B301" s="6" t="s">
        <v>4</v>
      </c>
      <c r="C301" s="6">
        <v>128</v>
      </c>
      <c r="D301" s="13" t="s">
        <v>30</v>
      </c>
      <c r="E301" s="14">
        <v>45014</v>
      </c>
      <c r="F301" s="6">
        <v>60</v>
      </c>
      <c r="G301" s="24">
        <v>3.8</v>
      </c>
      <c r="H301">
        <f>IF(MONTH(Table13[[#This Row],[Date of Call]])&lt;6, YEAR(Table13[[#This Row],[Date of Call]]),YEAR(Table13[[#This Row],[Date of Call]])+1)</f>
        <v>2023</v>
      </c>
      <c r="I301" t="str">
        <f>TEXT(Table13[[#This Row],[Date of Call]],"dddd")</f>
        <v>Wednesday</v>
      </c>
      <c r="J3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01">
        <f>ROUND(Table13[[#This Row],[Satisfaction Rating]],0)</f>
        <v>4</v>
      </c>
    </row>
    <row r="302" spans="1:11" x14ac:dyDescent="0.3">
      <c r="A302" s="23" t="s">
        <v>343</v>
      </c>
      <c r="B302" s="6" t="s">
        <v>14</v>
      </c>
      <c r="C302" s="6">
        <v>49</v>
      </c>
      <c r="D302" s="13" t="s">
        <v>32</v>
      </c>
      <c r="E302" s="14">
        <v>45014</v>
      </c>
      <c r="F302" s="6">
        <v>80</v>
      </c>
      <c r="G302" s="24">
        <v>3</v>
      </c>
      <c r="H302">
        <f>IF(MONTH(Table13[[#This Row],[Date of Call]])&lt;6, YEAR(Table13[[#This Row],[Date of Call]]),YEAR(Table13[[#This Row],[Date of Call]])+1)</f>
        <v>2023</v>
      </c>
      <c r="I302" t="str">
        <f>TEXT(Table13[[#This Row],[Date of Call]],"dddd")</f>
        <v>Wednesday</v>
      </c>
      <c r="J3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02">
        <f>ROUND(Table13[[#This Row],[Satisfaction Rating]],0)</f>
        <v>3</v>
      </c>
    </row>
    <row r="303" spans="1:11" x14ac:dyDescent="0.3">
      <c r="A303" s="23" t="s">
        <v>344</v>
      </c>
      <c r="B303" s="6" t="s">
        <v>4</v>
      </c>
      <c r="C303" s="6">
        <v>89</v>
      </c>
      <c r="D303" s="13" t="s">
        <v>28</v>
      </c>
      <c r="E303" s="14">
        <v>45016</v>
      </c>
      <c r="F303" s="6">
        <v>90</v>
      </c>
      <c r="G303" s="24">
        <v>4.5999999999999996</v>
      </c>
      <c r="H303">
        <f>IF(MONTH(Table13[[#This Row],[Date of Call]])&lt;6, YEAR(Table13[[#This Row],[Date of Call]]),YEAR(Table13[[#This Row],[Date of Call]])+1)</f>
        <v>2023</v>
      </c>
      <c r="I303" t="str">
        <f>TEXT(Table13[[#This Row],[Date of Call]],"dddd")</f>
        <v>Friday</v>
      </c>
      <c r="J3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03">
        <f>ROUND(Table13[[#This Row],[Satisfaction Rating]],0)</f>
        <v>5</v>
      </c>
    </row>
    <row r="304" spans="1:11" x14ac:dyDescent="0.3">
      <c r="A304" s="23" t="s">
        <v>345</v>
      </c>
      <c r="B304" s="6" t="s">
        <v>12</v>
      </c>
      <c r="C304" s="6">
        <v>87</v>
      </c>
      <c r="D304" s="13" t="s">
        <v>32</v>
      </c>
      <c r="E304" s="14">
        <v>45016</v>
      </c>
      <c r="F304" s="6">
        <v>225</v>
      </c>
      <c r="G304" s="24">
        <v>2.9</v>
      </c>
      <c r="H304">
        <f>IF(MONTH(Table13[[#This Row],[Date of Call]])&lt;6, YEAR(Table13[[#This Row],[Date of Call]]),YEAR(Table13[[#This Row],[Date of Call]])+1)</f>
        <v>2023</v>
      </c>
      <c r="I304" t="str">
        <f>TEXT(Table13[[#This Row],[Date of Call]],"dddd")</f>
        <v>Friday</v>
      </c>
      <c r="J3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04">
        <f>ROUND(Table13[[#This Row],[Satisfaction Rating]],0)</f>
        <v>3</v>
      </c>
    </row>
    <row r="305" spans="1:11" x14ac:dyDescent="0.3">
      <c r="A305" s="23" t="s">
        <v>346</v>
      </c>
      <c r="B305" s="6" t="s">
        <v>6</v>
      </c>
      <c r="C305" s="6">
        <v>60</v>
      </c>
      <c r="D305" s="13" t="s">
        <v>29</v>
      </c>
      <c r="E305" s="14">
        <v>45017</v>
      </c>
      <c r="F305" s="6">
        <v>215</v>
      </c>
      <c r="G305" s="24">
        <v>3.2</v>
      </c>
      <c r="H305">
        <f>IF(MONTH(Table13[[#This Row],[Date of Call]])&lt;6, YEAR(Table13[[#This Row],[Date of Call]]),YEAR(Table13[[#This Row],[Date of Call]])+1)</f>
        <v>2023</v>
      </c>
      <c r="I305" t="str">
        <f>TEXT(Table13[[#This Row],[Date of Call]],"dddd")</f>
        <v>Saturday</v>
      </c>
      <c r="J3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05">
        <f>ROUND(Table13[[#This Row],[Satisfaction Rating]],0)</f>
        <v>3</v>
      </c>
    </row>
    <row r="306" spans="1:11" x14ac:dyDescent="0.3">
      <c r="A306" s="23" t="s">
        <v>347</v>
      </c>
      <c r="B306" s="6" t="s">
        <v>17</v>
      </c>
      <c r="C306" s="6">
        <v>42</v>
      </c>
      <c r="D306" s="13" t="s">
        <v>28</v>
      </c>
      <c r="E306" s="14">
        <v>45017</v>
      </c>
      <c r="F306" s="6">
        <v>45</v>
      </c>
      <c r="G306" s="24">
        <v>1.5</v>
      </c>
      <c r="H306">
        <f>IF(MONTH(Table13[[#This Row],[Date of Call]])&lt;6, YEAR(Table13[[#This Row],[Date of Call]]),YEAR(Table13[[#This Row],[Date of Call]])+1)</f>
        <v>2023</v>
      </c>
      <c r="I306" t="str">
        <f>TEXT(Table13[[#This Row],[Date of Call]],"dddd")</f>
        <v>Saturday</v>
      </c>
      <c r="J3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06">
        <f>ROUND(Table13[[#This Row],[Satisfaction Rating]],0)</f>
        <v>2</v>
      </c>
    </row>
    <row r="307" spans="1:11" x14ac:dyDescent="0.3">
      <c r="A307" s="23" t="s">
        <v>348</v>
      </c>
      <c r="B307" s="6" t="s">
        <v>13</v>
      </c>
      <c r="C307" s="6">
        <v>99</v>
      </c>
      <c r="D307" s="13" t="s">
        <v>29</v>
      </c>
      <c r="E307" s="14">
        <v>45017</v>
      </c>
      <c r="F307" s="6">
        <v>74</v>
      </c>
      <c r="G307" s="24">
        <v>4</v>
      </c>
      <c r="H307">
        <f>IF(MONTH(Table13[[#This Row],[Date of Call]])&lt;6, YEAR(Table13[[#This Row],[Date of Call]]),YEAR(Table13[[#This Row],[Date of Call]])+1)</f>
        <v>2023</v>
      </c>
      <c r="I307" t="str">
        <f>TEXT(Table13[[#This Row],[Date of Call]],"dddd")</f>
        <v>Saturday</v>
      </c>
      <c r="J3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07">
        <f>ROUND(Table13[[#This Row],[Satisfaction Rating]],0)</f>
        <v>4</v>
      </c>
    </row>
    <row r="308" spans="1:11" x14ac:dyDescent="0.3">
      <c r="A308" s="23" t="s">
        <v>349</v>
      </c>
      <c r="B308" s="6" t="s">
        <v>8</v>
      </c>
      <c r="C308" s="6">
        <v>20</v>
      </c>
      <c r="D308" s="13" t="s">
        <v>28</v>
      </c>
      <c r="E308" s="14">
        <v>45017</v>
      </c>
      <c r="F308" s="6">
        <v>60</v>
      </c>
      <c r="G308" s="24">
        <v>3.6</v>
      </c>
      <c r="H308">
        <f>IF(MONTH(Table13[[#This Row],[Date of Call]])&lt;6, YEAR(Table13[[#This Row],[Date of Call]]),YEAR(Table13[[#This Row],[Date of Call]])+1)</f>
        <v>2023</v>
      </c>
      <c r="I308" t="str">
        <f>TEXT(Table13[[#This Row],[Date of Call]],"dddd")</f>
        <v>Saturday</v>
      </c>
      <c r="J3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08">
        <f>ROUND(Table13[[#This Row],[Satisfaction Rating]],0)</f>
        <v>4</v>
      </c>
    </row>
    <row r="309" spans="1:11" x14ac:dyDescent="0.3">
      <c r="A309" s="23" t="s">
        <v>350</v>
      </c>
      <c r="B309" s="6" t="s">
        <v>16</v>
      </c>
      <c r="C309" s="6">
        <v>65</v>
      </c>
      <c r="D309" s="13" t="s">
        <v>29</v>
      </c>
      <c r="E309" s="14">
        <v>45017</v>
      </c>
      <c r="F309" s="6">
        <v>64</v>
      </c>
      <c r="G309" s="24">
        <v>3.7</v>
      </c>
      <c r="H309">
        <f>IF(MONTH(Table13[[#This Row],[Date of Call]])&lt;6, YEAR(Table13[[#This Row],[Date of Call]]),YEAR(Table13[[#This Row],[Date of Call]])+1)</f>
        <v>2023</v>
      </c>
      <c r="I309" t="str">
        <f>TEXT(Table13[[#This Row],[Date of Call]],"dddd")</f>
        <v>Saturday</v>
      </c>
      <c r="J3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09">
        <f>ROUND(Table13[[#This Row],[Satisfaction Rating]],0)</f>
        <v>4</v>
      </c>
    </row>
    <row r="310" spans="1:11" x14ac:dyDescent="0.3">
      <c r="A310" s="23" t="s">
        <v>351</v>
      </c>
      <c r="B310" s="6" t="s">
        <v>15</v>
      </c>
      <c r="C310" s="6">
        <v>71</v>
      </c>
      <c r="D310" s="13" t="s">
        <v>32</v>
      </c>
      <c r="E310" s="14">
        <v>45018</v>
      </c>
      <c r="F310" s="6">
        <v>110</v>
      </c>
      <c r="G310" s="24">
        <v>4.8</v>
      </c>
      <c r="H310">
        <f>IF(MONTH(Table13[[#This Row],[Date of Call]])&lt;6, YEAR(Table13[[#This Row],[Date of Call]]),YEAR(Table13[[#This Row],[Date of Call]])+1)</f>
        <v>2023</v>
      </c>
      <c r="I310" t="str">
        <f>TEXT(Table13[[#This Row],[Date of Call]],"dddd")</f>
        <v>Sunday</v>
      </c>
      <c r="J3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10">
        <f>ROUND(Table13[[#This Row],[Satisfaction Rating]],0)</f>
        <v>5</v>
      </c>
    </row>
    <row r="311" spans="1:11" x14ac:dyDescent="0.3">
      <c r="A311" s="23" t="s">
        <v>352</v>
      </c>
      <c r="B311" s="6" t="s">
        <v>7</v>
      </c>
      <c r="C311" s="6">
        <v>95</v>
      </c>
      <c r="D311" s="13" t="s">
        <v>30</v>
      </c>
      <c r="E311" s="14">
        <v>45018</v>
      </c>
      <c r="F311" s="6">
        <v>52</v>
      </c>
      <c r="G311" s="24">
        <v>1.2</v>
      </c>
      <c r="H311">
        <f>IF(MONTH(Table13[[#This Row],[Date of Call]])&lt;6, YEAR(Table13[[#This Row],[Date of Call]]),YEAR(Table13[[#This Row],[Date of Call]])+1)</f>
        <v>2023</v>
      </c>
      <c r="I311" t="str">
        <f>TEXT(Table13[[#This Row],[Date of Call]],"dddd")</f>
        <v>Sunday</v>
      </c>
      <c r="J3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11">
        <f>ROUND(Table13[[#This Row],[Satisfaction Rating]],0)</f>
        <v>1</v>
      </c>
    </row>
    <row r="312" spans="1:11" x14ac:dyDescent="0.3">
      <c r="A312" s="23" t="s">
        <v>353</v>
      </c>
      <c r="B312" s="6" t="s">
        <v>8</v>
      </c>
      <c r="C312" s="6">
        <v>81</v>
      </c>
      <c r="D312" s="13" t="s">
        <v>31</v>
      </c>
      <c r="E312" s="14">
        <v>45019</v>
      </c>
      <c r="F312" s="6">
        <v>160</v>
      </c>
      <c r="G312" s="24">
        <v>4.7</v>
      </c>
      <c r="H312">
        <f>IF(MONTH(Table13[[#This Row],[Date of Call]])&lt;6, YEAR(Table13[[#This Row],[Date of Call]]),YEAR(Table13[[#This Row],[Date of Call]])+1)</f>
        <v>2023</v>
      </c>
      <c r="I312" t="str">
        <f>TEXT(Table13[[#This Row],[Date of Call]],"dddd")</f>
        <v>Monday</v>
      </c>
      <c r="J3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12">
        <f>ROUND(Table13[[#This Row],[Satisfaction Rating]],0)</f>
        <v>5</v>
      </c>
    </row>
    <row r="313" spans="1:11" x14ac:dyDescent="0.3">
      <c r="A313" s="23" t="s">
        <v>354</v>
      </c>
      <c r="B313" s="6" t="s">
        <v>9</v>
      </c>
      <c r="C313" s="6">
        <v>137</v>
      </c>
      <c r="D313" s="13" t="s">
        <v>31</v>
      </c>
      <c r="E313" s="14">
        <v>45019</v>
      </c>
      <c r="F313" s="6">
        <v>215</v>
      </c>
      <c r="G313" s="24">
        <v>4.7</v>
      </c>
      <c r="H313">
        <f>IF(MONTH(Table13[[#This Row],[Date of Call]])&lt;6, YEAR(Table13[[#This Row],[Date of Call]]),YEAR(Table13[[#This Row],[Date of Call]])+1)</f>
        <v>2023</v>
      </c>
      <c r="I313" t="str">
        <f>TEXT(Table13[[#This Row],[Date of Call]],"dddd")</f>
        <v>Monday</v>
      </c>
      <c r="J3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13">
        <f>ROUND(Table13[[#This Row],[Satisfaction Rating]],0)</f>
        <v>5</v>
      </c>
    </row>
    <row r="314" spans="1:11" x14ac:dyDescent="0.3">
      <c r="A314" s="23" t="s">
        <v>355</v>
      </c>
      <c r="B314" s="6" t="s">
        <v>9</v>
      </c>
      <c r="C314" s="6">
        <v>40</v>
      </c>
      <c r="D314" s="13" t="s">
        <v>30</v>
      </c>
      <c r="E314" s="14">
        <v>45019</v>
      </c>
      <c r="F314" s="6">
        <v>220</v>
      </c>
      <c r="G314" s="24">
        <v>4.5</v>
      </c>
      <c r="H314">
        <f>IF(MONTH(Table13[[#This Row],[Date of Call]])&lt;6, YEAR(Table13[[#This Row],[Date of Call]]),YEAR(Table13[[#This Row],[Date of Call]])+1)</f>
        <v>2023</v>
      </c>
      <c r="I314" t="str">
        <f>TEXT(Table13[[#This Row],[Date of Call]],"dddd")</f>
        <v>Monday</v>
      </c>
      <c r="J3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14">
        <f>ROUND(Table13[[#This Row],[Satisfaction Rating]],0)</f>
        <v>5</v>
      </c>
    </row>
    <row r="315" spans="1:11" x14ac:dyDescent="0.3">
      <c r="A315" s="23" t="s">
        <v>356</v>
      </c>
      <c r="B315" s="6" t="s">
        <v>13</v>
      </c>
      <c r="C315" s="6">
        <v>111</v>
      </c>
      <c r="D315" s="13" t="s">
        <v>29</v>
      </c>
      <c r="E315" s="14">
        <v>45020</v>
      </c>
      <c r="F315" s="6">
        <v>175</v>
      </c>
      <c r="G315" s="24">
        <v>3.5</v>
      </c>
      <c r="H315">
        <f>IF(MONTH(Table13[[#This Row],[Date of Call]])&lt;6, YEAR(Table13[[#This Row],[Date of Call]]),YEAR(Table13[[#This Row],[Date of Call]])+1)</f>
        <v>2023</v>
      </c>
      <c r="I315" t="str">
        <f>TEXT(Table13[[#This Row],[Date of Call]],"dddd")</f>
        <v>Tuesday</v>
      </c>
      <c r="J3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15">
        <f>ROUND(Table13[[#This Row],[Satisfaction Rating]],0)</f>
        <v>4</v>
      </c>
    </row>
    <row r="316" spans="1:11" x14ac:dyDescent="0.3">
      <c r="A316" s="23" t="s">
        <v>357</v>
      </c>
      <c r="B316" s="6" t="s">
        <v>15</v>
      </c>
      <c r="C316" s="6">
        <v>106</v>
      </c>
      <c r="D316" s="13" t="s">
        <v>29</v>
      </c>
      <c r="E316" s="14">
        <v>45020</v>
      </c>
      <c r="F316" s="6">
        <v>145</v>
      </c>
      <c r="G316" s="24">
        <v>4.0999999999999996</v>
      </c>
      <c r="H316">
        <f>IF(MONTH(Table13[[#This Row],[Date of Call]])&lt;6, YEAR(Table13[[#This Row],[Date of Call]]),YEAR(Table13[[#This Row],[Date of Call]])+1)</f>
        <v>2023</v>
      </c>
      <c r="I316" t="str">
        <f>TEXT(Table13[[#This Row],[Date of Call]],"dddd")</f>
        <v>Tuesday</v>
      </c>
      <c r="J3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16">
        <f>ROUND(Table13[[#This Row],[Satisfaction Rating]],0)</f>
        <v>4</v>
      </c>
    </row>
    <row r="317" spans="1:11" x14ac:dyDescent="0.3">
      <c r="A317" s="23" t="s">
        <v>358</v>
      </c>
      <c r="B317" s="6" t="s">
        <v>17</v>
      </c>
      <c r="C317" s="6">
        <v>133</v>
      </c>
      <c r="D317" s="13" t="s">
        <v>28</v>
      </c>
      <c r="E317" s="14">
        <v>45020</v>
      </c>
      <c r="F317" s="6">
        <v>72</v>
      </c>
      <c r="G317" s="24">
        <v>4.4000000000000004</v>
      </c>
      <c r="H317">
        <f>IF(MONTH(Table13[[#This Row],[Date of Call]])&lt;6, YEAR(Table13[[#This Row],[Date of Call]]),YEAR(Table13[[#This Row],[Date of Call]])+1)</f>
        <v>2023</v>
      </c>
      <c r="I317" t="str">
        <f>TEXT(Table13[[#This Row],[Date of Call]],"dddd")</f>
        <v>Tuesday</v>
      </c>
      <c r="J3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17">
        <f>ROUND(Table13[[#This Row],[Satisfaction Rating]],0)</f>
        <v>4</v>
      </c>
    </row>
    <row r="318" spans="1:11" x14ac:dyDescent="0.3">
      <c r="A318" s="23" t="s">
        <v>359</v>
      </c>
      <c r="B318" s="6" t="s">
        <v>10</v>
      </c>
      <c r="C318" s="6">
        <v>38</v>
      </c>
      <c r="D318" s="13" t="s">
        <v>29</v>
      </c>
      <c r="E318" s="14">
        <v>45021</v>
      </c>
      <c r="F318" s="6">
        <v>81</v>
      </c>
      <c r="G318" s="24">
        <v>3.6</v>
      </c>
      <c r="H318">
        <f>IF(MONTH(Table13[[#This Row],[Date of Call]])&lt;6, YEAR(Table13[[#This Row],[Date of Call]]),YEAR(Table13[[#This Row],[Date of Call]])+1)</f>
        <v>2023</v>
      </c>
      <c r="I318" t="str">
        <f>TEXT(Table13[[#This Row],[Date of Call]],"dddd")</f>
        <v>Wednesday</v>
      </c>
      <c r="J3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18">
        <f>ROUND(Table13[[#This Row],[Satisfaction Rating]],0)</f>
        <v>4</v>
      </c>
    </row>
    <row r="319" spans="1:11" x14ac:dyDescent="0.3">
      <c r="A319" s="23" t="s">
        <v>360</v>
      </c>
      <c r="B319" s="6" t="s">
        <v>18</v>
      </c>
      <c r="C319" s="6">
        <v>130</v>
      </c>
      <c r="D319" s="13" t="s">
        <v>30</v>
      </c>
      <c r="E319" s="14">
        <v>45021</v>
      </c>
      <c r="F319" s="6">
        <v>54</v>
      </c>
      <c r="G319" s="24">
        <v>4.0999999999999996</v>
      </c>
      <c r="H319">
        <f>IF(MONTH(Table13[[#This Row],[Date of Call]])&lt;6, YEAR(Table13[[#This Row],[Date of Call]]),YEAR(Table13[[#This Row],[Date of Call]])+1)</f>
        <v>2023</v>
      </c>
      <c r="I319" t="str">
        <f>TEXT(Table13[[#This Row],[Date of Call]],"dddd")</f>
        <v>Wednesday</v>
      </c>
      <c r="J3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19">
        <f>ROUND(Table13[[#This Row],[Satisfaction Rating]],0)</f>
        <v>4</v>
      </c>
    </row>
    <row r="320" spans="1:11" x14ac:dyDescent="0.3">
      <c r="A320" s="23" t="s">
        <v>361</v>
      </c>
      <c r="B320" s="6" t="s">
        <v>16</v>
      </c>
      <c r="C320" s="6">
        <v>23</v>
      </c>
      <c r="D320" s="13" t="s">
        <v>28</v>
      </c>
      <c r="E320" s="14">
        <v>45021</v>
      </c>
      <c r="F320" s="6">
        <v>105</v>
      </c>
      <c r="G320" s="24">
        <v>4.8</v>
      </c>
      <c r="H320">
        <f>IF(MONTH(Table13[[#This Row],[Date of Call]])&lt;6, YEAR(Table13[[#This Row],[Date of Call]]),YEAR(Table13[[#This Row],[Date of Call]])+1)</f>
        <v>2023</v>
      </c>
      <c r="I320" t="str">
        <f>TEXT(Table13[[#This Row],[Date of Call]],"dddd")</f>
        <v>Wednesday</v>
      </c>
      <c r="J3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20">
        <f>ROUND(Table13[[#This Row],[Satisfaction Rating]],0)</f>
        <v>5</v>
      </c>
    </row>
    <row r="321" spans="1:11" x14ac:dyDescent="0.3">
      <c r="A321" s="23" t="s">
        <v>362</v>
      </c>
      <c r="B321" s="6" t="s">
        <v>18</v>
      </c>
      <c r="C321" s="6">
        <v>124</v>
      </c>
      <c r="D321" s="13" t="s">
        <v>29</v>
      </c>
      <c r="E321" s="14">
        <v>45022</v>
      </c>
      <c r="F321" s="6">
        <v>176</v>
      </c>
      <c r="G321" s="24">
        <v>3.9</v>
      </c>
      <c r="H321">
        <f>IF(MONTH(Table13[[#This Row],[Date of Call]])&lt;6, YEAR(Table13[[#This Row],[Date of Call]]),YEAR(Table13[[#This Row],[Date of Call]])+1)</f>
        <v>2023</v>
      </c>
      <c r="I321" t="str">
        <f>TEXT(Table13[[#This Row],[Date of Call]],"dddd")</f>
        <v>Thursday</v>
      </c>
      <c r="J3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21">
        <f>ROUND(Table13[[#This Row],[Satisfaction Rating]],0)</f>
        <v>4</v>
      </c>
    </row>
    <row r="322" spans="1:11" x14ac:dyDescent="0.3">
      <c r="A322" s="23" t="s">
        <v>363</v>
      </c>
      <c r="B322" s="6" t="s">
        <v>8</v>
      </c>
      <c r="C322" s="6">
        <v>107</v>
      </c>
      <c r="D322" s="13" t="s">
        <v>29</v>
      </c>
      <c r="E322" s="14">
        <v>45022</v>
      </c>
      <c r="F322" s="6">
        <v>115</v>
      </c>
      <c r="G322" s="24">
        <v>3.8</v>
      </c>
      <c r="H322">
        <f>IF(MONTH(Table13[[#This Row],[Date of Call]])&lt;6, YEAR(Table13[[#This Row],[Date of Call]]),YEAR(Table13[[#This Row],[Date of Call]])+1)</f>
        <v>2023</v>
      </c>
      <c r="I322" t="str">
        <f>TEXT(Table13[[#This Row],[Date of Call]],"dddd")</f>
        <v>Thursday</v>
      </c>
      <c r="J3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22">
        <f>ROUND(Table13[[#This Row],[Satisfaction Rating]],0)</f>
        <v>4</v>
      </c>
    </row>
    <row r="323" spans="1:11" x14ac:dyDescent="0.3">
      <c r="A323" s="23" t="s">
        <v>364</v>
      </c>
      <c r="B323" s="6" t="s">
        <v>9</v>
      </c>
      <c r="C323" s="6">
        <v>60</v>
      </c>
      <c r="D323" s="13" t="s">
        <v>32</v>
      </c>
      <c r="E323" s="14">
        <v>45022</v>
      </c>
      <c r="F323" s="6">
        <v>116</v>
      </c>
      <c r="G323" s="24">
        <v>3.9</v>
      </c>
      <c r="H323">
        <f>IF(MONTH(Table13[[#This Row],[Date of Call]])&lt;6, YEAR(Table13[[#This Row],[Date of Call]]),YEAR(Table13[[#This Row],[Date of Call]])+1)</f>
        <v>2023</v>
      </c>
      <c r="I323" t="str">
        <f>TEXT(Table13[[#This Row],[Date of Call]],"dddd")</f>
        <v>Thursday</v>
      </c>
      <c r="J3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23">
        <f>ROUND(Table13[[#This Row],[Satisfaction Rating]],0)</f>
        <v>4</v>
      </c>
    </row>
    <row r="324" spans="1:11" x14ac:dyDescent="0.3">
      <c r="A324" s="23" t="s">
        <v>365</v>
      </c>
      <c r="B324" s="6" t="s">
        <v>9</v>
      </c>
      <c r="C324" s="6">
        <v>158</v>
      </c>
      <c r="D324" s="13" t="s">
        <v>30</v>
      </c>
      <c r="E324" s="14">
        <v>45022</v>
      </c>
      <c r="F324" s="6">
        <v>100</v>
      </c>
      <c r="G324" s="24">
        <v>4.0999999999999996</v>
      </c>
      <c r="H324">
        <f>IF(MONTH(Table13[[#This Row],[Date of Call]])&lt;6, YEAR(Table13[[#This Row],[Date of Call]]),YEAR(Table13[[#This Row],[Date of Call]])+1)</f>
        <v>2023</v>
      </c>
      <c r="I324" t="str">
        <f>TEXT(Table13[[#This Row],[Date of Call]],"dddd")</f>
        <v>Thursday</v>
      </c>
      <c r="J3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24">
        <f>ROUND(Table13[[#This Row],[Satisfaction Rating]],0)</f>
        <v>4</v>
      </c>
    </row>
    <row r="325" spans="1:11" x14ac:dyDescent="0.3">
      <c r="A325" s="23" t="s">
        <v>366</v>
      </c>
      <c r="B325" s="6" t="s">
        <v>12</v>
      </c>
      <c r="C325" s="6">
        <v>110</v>
      </c>
      <c r="D325" s="13" t="s">
        <v>30</v>
      </c>
      <c r="E325" s="14">
        <v>45023</v>
      </c>
      <c r="F325" s="6">
        <v>36</v>
      </c>
      <c r="G325" s="24">
        <v>2.2000000000000002</v>
      </c>
      <c r="H325">
        <f>IF(MONTH(Table13[[#This Row],[Date of Call]])&lt;6, YEAR(Table13[[#This Row],[Date of Call]]),YEAR(Table13[[#This Row],[Date of Call]])+1)</f>
        <v>2023</v>
      </c>
      <c r="I325" t="str">
        <f>TEXT(Table13[[#This Row],[Date of Call]],"dddd")</f>
        <v>Friday</v>
      </c>
      <c r="J3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25">
        <f>ROUND(Table13[[#This Row],[Satisfaction Rating]],0)</f>
        <v>2</v>
      </c>
    </row>
    <row r="326" spans="1:11" x14ac:dyDescent="0.3">
      <c r="A326" s="23" t="s">
        <v>367</v>
      </c>
      <c r="B326" s="6" t="s">
        <v>4</v>
      </c>
      <c r="C326" s="6">
        <v>70</v>
      </c>
      <c r="D326" s="13" t="s">
        <v>30</v>
      </c>
      <c r="E326" s="14">
        <v>45023</v>
      </c>
      <c r="F326" s="6">
        <v>114</v>
      </c>
      <c r="G326" s="24">
        <v>5</v>
      </c>
      <c r="H326">
        <f>IF(MONTH(Table13[[#This Row],[Date of Call]])&lt;6, YEAR(Table13[[#This Row],[Date of Call]]),YEAR(Table13[[#This Row],[Date of Call]])+1)</f>
        <v>2023</v>
      </c>
      <c r="I326" t="str">
        <f>TEXT(Table13[[#This Row],[Date of Call]],"dddd")</f>
        <v>Friday</v>
      </c>
      <c r="J3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26">
        <f>ROUND(Table13[[#This Row],[Satisfaction Rating]],0)</f>
        <v>5</v>
      </c>
    </row>
    <row r="327" spans="1:11" x14ac:dyDescent="0.3">
      <c r="A327" s="23" t="s">
        <v>368</v>
      </c>
      <c r="B327" s="6" t="s">
        <v>4</v>
      </c>
      <c r="C327" s="6">
        <v>150</v>
      </c>
      <c r="D327" s="13" t="s">
        <v>32</v>
      </c>
      <c r="E327" s="14">
        <v>45023</v>
      </c>
      <c r="F327" s="6">
        <v>24</v>
      </c>
      <c r="G327" s="24">
        <v>3.8</v>
      </c>
      <c r="H327">
        <f>IF(MONTH(Table13[[#This Row],[Date of Call]])&lt;6, YEAR(Table13[[#This Row],[Date of Call]]),YEAR(Table13[[#This Row],[Date of Call]])+1)</f>
        <v>2023</v>
      </c>
      <c r="I327" t="str">
        <f>TEXT(Table13[[#This Row],[Date of Call]],"dddd")</f>
        <v>Friday</v>
      </c>
      <c r="J3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27">
        <f>ROUND(Table13[[#This Row],[Satisfaction Rating]],0)</f>
        <v>4</v>
      </c>
    </row>
    <row r="328" spans="1:11" x14ac:dyDescent="0.3">
      <c r="A328" s="23" t="s">
        <v>369</v>
      </c>
      <c r="B328" s="6" t="s">
        <v>10</v>
      </c>
      <c r="C328" s="6">
        <v>36</v>
      </c>
      <c r="D328" s="13" t="s">
        <v>29</v>
      </c>
      <c r="E328" s="14">
        <v>45023</v>
      </c>
      <c r="F328" s="6">
        <v>135</v>
      </c>
      <c r="G328" s="24">
        <v>4.5999999999999996</v>
      </c>
      <c r="H328">
        <f>IF(MONTH(Table13[[#This Row],[Date of Call]])&lt;6, YEAR(Table13[[#This Row],[Date of Call]]),YEAR(Table13[[#This Row],[Date of Call]])+1)</f>
        <v>2023</v>
      </c>
      <c r="I328" t="str">
        <f>TEXT(Table13[[#This Row],[Date of Call]],"dddd")</f>
        <v>Friday</v>
      </c>
      <c r="J3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28">
        <f>ROUND(Table13[[#This Row],[Satisfaction Rating]],0)</f>
        <v>5</v>
      </c>
    </row>
    <row r="329" spans="1:11" x14ac:dyDescent="0.3">
      <c r="A329" s="23" t="s">
        <v>370</v>
      </c>
      <c r="B329" s="6" t="s">
        <v>18</v>
      </c>
      <c r="C329" s="6">
        <v>74</v>
      </c>
      <c r="D329" s="13" t="s">
        <v>29</v>
      </c>
      <c r="E329" s="14">
        <v>45023</v>
      </c>
      <c r="F329" s="6">
        <v>30</v>
      </c>
      <c r="G329" s="24">
        <v>4</v>
      </c>
      <c r="H329">
        <f>IF(MONTH(Table13[[#This Row],[Date of Call]])&lt;6, YEAR(Table13[[#This Row],[Date of Call]]),YEAR(Table13[[#This Row],[Date of Call]])+1)</f>
        <v>2023</v>
      </c>
      <c r="I329" t="str">
        <f>TEXT(Table13[[#This Row],[Date of Call]],"dddd")</f>
        <v>Friday</v>
      </c>
      <c r="J3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29">
        <f>ROUND(Table13[[#This Row],[Satisfaction Rating]],0)</f>
        <v>4</v>
      </c>
    </row>
    <row r="330" spans="1:11" x14ac:dyDescent="0.3">
      <c r="A330" s="23" t="s">
        <v>371</v>
      </c>
      <c r="B330" s="6" t="s">
        <v>7</v>
      </c>
      <c r="C330" s="6">
        <v>75</v>
      </c>
      <c r="D330" s="13" t="s">
        <v>29</v>
      </c>
      <c r="E330" s="14">
        <v>45023</v>
      </c>
      <c r="F330" s="6">
        <v>84</v>
      </c>
      <c r="G330" s="24">
        <v>2.8</v>
      </c>
      <c r="H330">
        <f>IF(MONTH(Table13[[#This Row],[Date of Call]])&lt;6, YEAR(Table13[[#This Row],[Date of Call]]),YEAR(Table13[[#This Row],[Date of Call]])+1)</f>
        <v>2023</v>
      </c>
      <c r="I330" t="str">
        <f>TEXT(Table13[[#This Row],[Date of Call]],"dddd")</f>
        <v>Friday</v>
      </c>
      <c r="J3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30">
        <f>ROUND(Table13[[#This Row],[Satisfaction Rating]],0)</f>
        <v>3</v>
      </c>
    </row>
    <row r="331" spans="1:11" x14ac:dyDescent="0.3">
      <c r="A331" s="23" t="s">
        <v>372</v>
      </c>
      <c r="B331" s="6" t="s">
        <v>11</v>
      </c>
      <c r="C331" s="6">
        <v>70</v>
      </c>
      <c r="D331" s="13" t="s">
        <v>31</v>
      </c>
      <c r="E331" s="14">
        <v>45023</v>
      </c>
      <c r="F331" s="6">
        <v>42</v>
      </c>
      <c r="G331" s="24">
        <v>4.4000000000000004</v>
      </c>
      <c r="H331">
        <f>IF(MONTH(Table13[[#This Row],[Date of Call]])&lt;6, YEAR(Table13[[#This Row],[Date of Call]]),YEAR(Table13[[#This Row],[Date of Call]])+1)</f>
        <v>2023</v>
      </c>
      <c r="I331" t="str">
        <f>TEXT(Table13[[#This Row],[Date of Call]],"dddd")</f>
        <v>Friday</v>
      </c>
      <c r="J3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31">
        <f>ROUND(Table13[[#This Row],[Satisfaction Rating]],0)</f>
        <v>4</v>
      </c>
    </row>
    <row r="332" spans="1:11" x14ac:dyDescent="0.3">
      <c r="A332" s="23" t="s">
        <v>373</v>
      </c>
      <c r="B332" s="6" t="s">
        <v>12</v>
      </c>
      <c r="C332" s="6">
        <v>23</v>
      </c>
      <c r="D332" s="13" t="s">
        <v>30</v>
      </c>
      <c r="E332" s="14">
        <v>45023</v>
      </c>
      <c r="F332" s="6">
        <v>117</v>
      </c>
      <c r="G332" s="24">
        <v>2.4</v>
      </c>
      <c r="H332">
        <f>IF(MONTH(Table13[[#This Row],[Date of Call]])&lt;6, YEAR(Table13[[#This Row],[Date of Call]]),YEAR(Table13[[#This Row],[Date of Call]])+1)</f>
        <v>2023</v>
      </c>
      <c r="I332" t="str">
        <f>TEXT(Table13[[#This Row],[Date of Call]],"dddd")</f>
        <v>Friday</v>
      </c>
      <c r="J3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32">
        <f>ROUND(Table13[[#This Row],[Satisfaction Rating]],0)</f>
        <v>2</v>
      </c>
    </row>
    <row r="333" spans="1:11" x14ac:dyDescent="0.3">
      <c r="A333" s="23" t="s">
        <v>374</v>
      </c>
      <c r="B333" s="6" t="s">
        <v>13</v>
      </c>
      <c r="C333" s="6">
        <v>104</v>
      </c>
      <c r="D333" s="13" t="s">
        <v>28</v>
      </c>
      <c r="E333" s="14">
        <v>45023</v>
      </c>
      <c r="F333" s="6">
        <v>164</v>
      </c>
      <c r="G333" s="24">
        <v>4</v>
      </c>
      <c r="H333">
        <f>IF(MONTH(Table13[[#This Row],[Date of Call]])&lt;6, YEAR(Table13[[#This Row],[Date of Call]]),YEAR(Table13[[#This Row],[Date of Call]])+1)</f>
        <v>2023</v>
      </c>
      <c r="I333" t="str">
        <f>TEXT(Table13[[#This Row],[Date of Call]],"dddd")</f>
        <v>Friday</v>
      </c>
      <c r="J3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33">
        <f>ROUND(Table13[[#This Row],[Satisfaction Rating]],0)</f>
        <v>4</v>
      </c>
    </row>
    <row r="334" spans="1:11" x14ac:dyDescent="0.3">
      <c r="A334" s="23" t="s">
        <v>375</v>
      </c>
      <c r="B334" s="6" t="s">
        <v>4</v>
      </c>
      <c r="C334" s="6">
        <v>95</v>
      </c>
      <c r="D334" s="13" t="s">
        <v>31</v>
      </c>
      <c r="E334" s="14">
        <v>45024</v>
      </c>
      <c r="F334" s="6">
        <v>123</v>
      </c>
      <c r="G334" s="24">
        <v>4.4000000000000004</v>
      </c>
      <c r="H334">
        <f>IF(MONTH(Table13[[#This Row],[Date of Call]])&lt;6, YEAR(Table13[[#This Row],[Date of Call]]),YEAR(Table13[[#This Row],[Date of Call]])+1)</f>
        <v>2023</v>
      </c>
      <c r="I334" t="str">
        <f>TEXT(Table13[[#This Row],[Date of Call]],"dddd")</f>
        <v>Saturday</v>
      </c>
      <c r="J3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34">
        <f>ROUND(Table13[[#This Row],[Satisfaction Rating]],0)</f>
        <v>4</v>
      </c>
    </row>
    <row r="335" spans="1:11" x14ac:dyDescent="0.3">
      <c r="A335" s="23" t="s">
        <v>376</v>
      </c>
      <c r="B335" s="6" t="s">
        <v>14</v>
      </c>
      <c r="C335" s="6">
        <v>49</v>
      </c>
      <c r="D335" s="13" t="s">
        <v>32</v>
      </c>
      <c r="E335" s="14">
        <v>45024</v>
      </c>
      <c r="F335" s="6">
        <v>172</v>
      </c>
      <c r="G335" s="24">
        <v>2.9</v>
      </c>
      <c r="H335">
        <f>IF(MONTH(Table13[[#This Row],[Date of Call]])&lt;6, YEAR(Table13[[#This Row],[Date of Call]]),YEAR(Table13[[#This Row],[Date of Call]])+1)</f>
        <v>2023</v>
      </c>
      <c r="I335" t="str">
        <f>TEXT(Table13[[#This Row],[Date of Call]],"dddd")</f>
        <v>Saturday</v>
      </c>
      <c r="J3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35">
        <f>ROUND(Table13[[#This Row],[Satisfaction Rating]],0)</f>
        <v>3</v>
      </c>
    </row>
    <row r="336" spans="1:11" x14ac:dyDescent="0.3">
      <c r="A336" s="23" t="s">
        <v>377</v>
      </c>
      <c r="B336" s="6" t="s">
        <v>15</v>
      </c>
      <c r="C336" s="6">
        <v>8</v>
      </c>
      <c r="D336" s="13" t="s">
        <v>30</v>
      </c>
      <c r="E336" s="14">
        <v>45024</v>
      </c>
      <c r="F336" s="6">
        <v>20</v>
      </c>
      <c r="G336" s="24">
        <v>4.8</v>
      </c>
      <c r="H336">
        <f>IF(MONTH(Table13[[#This Row],[Date of Call]])&lt;6, YEAR(Table13[[#This Row],[Date of Call]]),YEAR(Table13[[#This Row],[Date of Call]])+1)</f>
        <v>2023</v>
      </c>
      <c r="I336" t="str">
        <f>TEXT(Table13[[#This Row],[Date of Call]],"dddd")</f>
        <v>Saturday</v>
      </c>
      <c r="J3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336">
        <f>ROUND(Table13[[#This Row],[Satisfaction Rating]],0)</f>
        <v>5</v>
      </c>
    </row>
    <row r="337" spans="1:11" x14ac:dyDescent="0.3">
      <c r="A337" s="23" t="s">
        <v>378</v>
      </c>
      <c r="B337" s="6" t="s">
        <v>4</v>
      </c>
      <c r="C337" s="6">
        <v>157</v>
      </c>
      <c r="D337" s="13" t="s">
        <v>32</v>
      </c>
      <c r="E337" s="14">
        <v>45024</v>
      </c>
      <c r="F337" s="6">
        <v>72</v>
      </c>
      <c r="G337" s="24">
        <v>3.7</v>
      </c>
      <c r="H337">
        <f>IF(MONTH(Table13[[#This Row],[Date of Call]])&lt;6, YEAR(Table13[[#This Row],[Date of Call]]),YEAR(Table13[[#This Row],[Date of Call]])+1)</f>
        <v>2023</v>
      </c>
      <c r="I337" t="str">
        <f>TEXT(Table13[[#This Row],[Date of Call]],"dddd")</f>
        <v>Saturday</v>
      </c>
      <c r="J3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37">
        <f>ROUND(Table13[[#This Row],[Satisfaction Rating]],0)</f>
        <v>4</v>
      </c>
    </row>
    <row r="338" spans="1:11" x14ac:dyDescent="0.3">
      <c r="A338" s="23" t="s">
        <v>379</v>
      </c>
      <c r="B338" s="6" t="s">
        <v>8</v>
      </c>
      <c r="C338" s="6">
        <v>74</v>
      </c>
      <c r="D338" s="13" t="s">
        <v>29</v>
      </c>
      <c r="E338" s="14">
        <v>45024</v>
      </c>
      <c r="F338" s="6">
        <v>32</v>
      </c>
      <c r="G338" s="24">
        <v>4.8</v>
      </c>
      <c r="H338">
        <f>IF(MONTH(Table13[[#This Row],[Date of Call]])&lt;6, YEAR(Table13[[#This Row],[Date of Call]]),YEAR(Table13[[#This Row],[Date of Call]])+1)</f>
        <v>2023</v>
      </c>
      <c r="I338" t="str">
        <f>TEXT(Table13[[#This Row],[Date of Call]],"dddd")</f>
        <v>Saturday</v>
      </c>
      <c r="J3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38">
        <f>ROUND(Table13[[#This Row],[Satisfaction Rating]],0)</f>
        <v>5</v>
      </c>
    </row>
    <row r="339" spans="1:11" x14ac:dyDescent="0.3">
      <c r="A339" s="23" t="s">
        <v>380</v>
      </c>
      <c r="B339" s="6" t="s">
        <v>12</v>
      </c>
      <c r="C339" s="6">
        <v>72</v>
      </c>
      <c r="D339" s="13" t="s">
        <v>31</v>
      </c>
      <c r="E339" s="14">
        <v>45024</v>
      </c>
      <c r="F339" s="6">
        <v>140</v>
      </c>
      <c r="G339" s="24">
        <v>3.2</v>
      </c>
      <c r="H339">
        <f>IF(MONTH(Table13[[#This Row],[Date of Call]])&lt;6, YEAR(Table13[[#This Row],[Date of Call]]),YEAR(Table13[[#This Row],[Date of Call]])+1)</f>
        <v>2023</v>
      </c>
      <c r="I339" t="str">
        <f>TEXT(Table13[[#This Row],[Date of Call]],"dddd")</f>
        <v>Saturday</v>
      </c>
      <c r="J3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39">
        <f>ROUND(Table13[[#This Row],[Satisfaction Rating]],0)</f>
        <v>3</v>
      </c>
    </row>
    <row r="340" spans="1:11" x14ac:dyDescent="0.3">
      <c r="A340" s="23" t="s">
        <v>381</v>
      </c>
      <c r="B340" s="6" t="s">
        <v>8</v>
      </c>
      <c r="C340" s="6">
        <v>79</v>
      </c>
      <c r="D340" s="13" t="s">
        <v>29</v>
      </c>
      <c r="E340" s="14">
        <v>45025</v>
      </c>
      <c r="F340" s="6">
        <v>120</v>
      </c>
      <c r="G340" s="24">
        <v>4.9000000000000004</v>
      </c>
      <c r="H340">
        <f>IF(MONTH(Table13[[#This Row],[Date of Call]])&lt;6, YEAR(Table13[[#This Row],[Date of Call]]),YEAR(Table13[[#This Row],[Date of Call]])+1)</f>
        <v>2023</v>
      </c>
      <c r="I340" t="str">
        <f>TEXT(Table13[[#This Row],[Date of Call]],"dddd")</f>
        <v>Sunday</v>
      </c>
      <c r="J3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0">
        <f>ROUND(Table13[[#This Row],[Satisfaction Rating]],0)</f>
        <v>5</v>
      </c>
    </row>
    <row r="341" spans="1:11" x14ac:dyDescent="0.3">
      <c r="A341" s="23" t="s">
        <v>382</v>
      </c>
      <c r="B341" s="6" t="s">
        <v>18</v>
      </c>
      <c r="C341" s="6">
        <v>23</v>
      </c>
      <c r="D341" s="13" t="s">
        <v>29</v>
      </c>
      <c r="E341" s="14">
        <v>45025</v>
      </c>
      <c r="F341" s="6">
        <v>86</v>
      </c>
      <c r="G341" s="24">
        <v>2.2000000000000002</v>
      </c>
      <c r="H341">
        <f>IF(MONTH(Table13[[#This Row],[Date of Call]])&lt;6, YEAR(Table13[[#This Row],[Date of Call]]),YEAR(Table13[[#This Row],[Date of Call]])+1)</f>
        <v>2023</v>
      </c>
      <c r="I341" t="str">
        <f>TEXT(Table13[[#This Row],[Date of Call]],"dddd")</f>
        <v>Sunday</v>
      </c>
      <c r="J3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41">
        <f>ROUND(Table13[[#This Row],[Satisfaction Rating]],0)</f>
        <v>2</v>
      </c>
    </row>
    <row r="342" spans="1:11" x14ac:dyDescent="0.3">
      <c r="A342" s="23" t="s">
        <v>383</v>
      </c>
      <c r="B342" s="6" t="s">
        <v>7</v>
      </c>
      <c r="C342" s="6">
        <v>69</v>
      </c>
      <c r="D342" s="13" t="s">
        <v>29</v>
      </c>
      <c r="E342" s="14">
        <v>45025</v>
      </c>
      <c r="F342" s="6">
        <v>132</v>
      </c>
      <c r="G342" s="24">
        <v>5</v>
      </c>
      <c r="H342">
        <f>IF(MONTH(Table13[[#This Row],[Date of Call]])&lt;6, YEAR(Table13[[#This Row],[Date of Call]]),YEAR(Table13[[#This Row],[Date of Call]])+1)</f>
        <v>2023</v>
      </c>
      <c r="I342" t="str">
        <f>TEXT(Table13[[#This Row],[Date of Call]],"dddd")</f>
        <v>Sunday</v>
      </c>
      <c r="J3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2">
        <f>ROUND(Table13[[#This Row],[Satisfaction Rating]],0)</f>
        <v>5</v>
      </c>
    </row>
    <row r="343" spans="1:11" x14ac:dyDescent="0.3">
      <c r="A343" s="23" t="s">
        <v>384</v>
      </c>
      <c r="B343" s="6" t="s">
        <v>9</v>
      </c>
      <c r="C343" s="6">
        <v>64</v>
      </c>
      <c r="D343" s="13" t="s">
        <v>29</v>
      </c>
      <c r="E343" s="14">
        <v>45025</v>
      </c>
      <c r="F343" s="6">
        <v>80</v>
      </c>
      <c r="G343" s="24">
        <v>3.3</v>
      </c>
      <c r="H343">
        <f>IF(MONTH(Table13[[#This Row],[Date of Call]])&lt;6, YEAR(Table13[[#This Row],[Date of Call]]),YEAR(Table13[[#This Row],[Date of Call]])+1)</f>
        <v>2023</v>
      </c>
      <c r="I343" t="str">
        <f>TEXT(Table13[[#This Row],[Date of Call]],"dddd")</f>
        <v>Sunday</v>
      </c>
      <c r="J3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3">
        <f>ROUND(Table13[[#This Row],[Satisfaction Rating]],0)</f>
        <v>3</v>
      </c>
    </row>
    <row r="344" spans="1:11" x14ac:dyDescent="0.3">
      <c r="A344" s="23" t="s">
        <v>385</v>
      </c>
      <c r="B344" s="6" t="s">
        <v>5</v>
      </c>
      <c r="C344" s="6">
        <v>47</v>
      </c>
      <c r="D344" s="13" t="s">
        <v>32</v>
      </c>
      <c r="E344" s="14">
        <v>45025</v>
      </c>
      <c r="F344" s="6">
        <v>132</v>
      </c>
      <c r="G344" s="24">
        <v>3.7</v>
      </c>
      <c r="H344">
        <f>IF(MONTH(Table13[[#This Row],[Date of Call]])&lt;6, YEAR(Table13[[#This Row],[Date of Call]]),YEAR(Table13[[#This Row],[Date of Call]])+1)</f>
        <v>2023</v>
      </c>
      <c r="I344" t="str">
        <f>TEXT(Table13[[#This Row],[Date of Call]],"dddd")</f>
        <v>Sunday</v>
      </c>
      <c r="J3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44">
        <f>ROUND(Table13[[#This Row],[Satisfaction Rating]],0)</f>
        <v>4</v>
      </c>
    </row>
    <row r="345" spans="1:11" x14ac:dyDescent="0.3">
      <c r="A345" s="23" t="s">
        <v>386</v>
      </c>
      <c r="B345" s="6" t="s">
        <v>8</v>
      </c>
      <c r="C345" s="6">
        <v>55</v>
      </c>
      <c r="D345" s="13" t="s">
        <v>31</v>
      </c>
      <c r="E345" s="14">
        <v>45025</v>
      </c>
      <c r="F345" s="6">
        <v>27</v>
      </c>
      <c r="G345" s="24">
        <v>3.7</v>
      </c>
      <c r="H345">
        <f>IF(MONTH(Table13[[#This Row],[Date of Call]])&lt;6, YEAR(Table13[[#This Row],[Date of Call]]),YEAR(Table13[[#This Row],[Date of Call]])+1)</f>
        <v>2023</v>
      </c>
      <c r="I345" t="str">
        <f>TEXT(Table13[[#This Row],[Date of Call]],"dddd")</f>
        <v>Sunday</v>
      </c>
      <c r="J3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45">
        <f>ROUND(Table13[[#This Row],[Satisfaction Rating]],0)</f>
        <v>4</v>
      </c>
    </row>
    <row r="346" spans="1:11" x14ac:dyDescent="0.3">
      <c r="A346" s="23" t="s">
        <v>387</v>
      </c>
      <c r="B346" s="6" t="s">
        <v>13</v>
      </c>
      <c r="C346" s="6">
        <v>104</v>
      </c>
      <c r="D346" s="13" t="s">
        <v>31</v>
      </c>
      <c r="E346" s="14">
        <v>45026</v>
      </c>
      <c r="F346" s="6">
        <v>68</v>
      </c>
      <c r="G346" s="24">
        <v>3.6</v>
      </c>
      <c r="H346">
        <f>IF(MONTH(Table13[[#This Row],[Date of Call]])&lt;6, YEAR(Table13[[#This Row],[Date of Call]]),YEAR(Table13[[#This Row],[Date of Call]])+1)</f>
        <v>2023</v>
      </c>
      <c r="I346" t="str">
        <f>TEXT(Table13[[#This Row],[Date of Call]],"dddd")</f>
        <v>Monday</v>
      </c>
      <c r="J3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6">
        <f>ROUND(Table13[[#This Row],[Satisfaction Rating]],0)</f>
        <v>4</v>
      </c>
    </row>
    <row r="347" spans="1:11" x14ac:dyDescent="0.3">
      <c r="A347" s="23" t="s">
        <v>388</v>
      </c>
      <c r="B347" s="6" t="s">
        <v>5</v>
      </c>
      <c r="C347" s="6">
        <v>116</v>
      </c>
      <c r="D347" s="13" t="s">
        <v>29</v>
      </c>
      <c r="E347" s="14">
        <v>45026</v>
      </c>
      <c r="F347" s="6">
        <v>22</v>
      </c>
      <c r="G347" s="24">
        <v>4.7</v>
      </c>
      <c r="H347">
        <f>IF(MONTH(Table13[[#This Row],[Date of Call]])&lt;6, YEAR(Table13[[#This Row],[Date of Call]]),YEAR(Table13[[#This Row],[Date of Call]])+1)</f>
        <v>2023</v>
      </c>
      <c r="I347" t="str">
        <f>TEXT(Table13[[#This Row],[Date of Call]],"dddd")</f>
        <v>Monday</v>
      </c>
      <c r="J3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7">
        <f>ROUND(Table13[[#This Row],[Satisfaction Rating]],0)</f>
        <v>5</v>
      </c>
    </row>
    <row r="348" spans="1:11" x14ac:dyDescent="0.3">
      <c r="A348" s="23" t="s">
        <v>389</v>
      </c>
      <c r="B348" s="6" t="s">
        <v>18</v>
      </c>
      <c r="C348" s="6">
        <v>99</v>
      </c>
      <c r="D348" s="13" t="s">
        <v>31</v>
      </c>
      <c r="E348" s="14">
        <v>45026</v>
      </c>
      <c r="F348" s="6">
        <v>42</v>
      </c>
      <c r="G348" s="24">
        <v>3.1</v>
      </c>
      <c r="H348">
        <f>IF(MONTH(Table13[[#This Row],[Date of Call]])&lt;6, YEAR(Table13[[#This Row],[Date of Call]]),YEAR(Table13[[#This Row],[Date of Call]])+1)</f>
        <v>2023</v>
      </c>
      <c r="I348" t="str">
        <f>TEXT(Table13[[#This Row],[Date of Call]],"dddd")</f>
        <v>Monday</v>
      </c>
      <c r="J3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8">
        <f>ROUND(Table13[[#This Row],[Satisfaction Rating]],0)</f>
        <v>3</v>
      </c>
    </row>
    <row r="349" spans="1:11" x14ac:dyDescent="0.3">
      <c r="A349" s="23" t="s">
        <v>390</v>
      </c>
      <c r="B349" s="6" t="s">
        <v>13</v>
      </c>
      <c r="C349" s="6">
        <v>84</v>
      </c>
      <c r="D349" s="13" t="s">
        <v>31</v>
      </c>
      <c r="E349" s="14">
        <v>45027</v>
      </c>
      <c r="F349" s="6">
        <v>38</v>
      </c>
      <c r="G349" s="24">
        <v>3.3</v>
      </c>
      <c r="H349">
        <f>IF(MONTH(Table13[[#This Row],[Date of Call]])&lt;6, YEAR(Table13[[#This Row],[Date of Call]]),YEAR(Table13[[#This Row],[Date of Call]])+1)</f>
        <v>2023</v>
      </c>
      <c r="I349" t="str">
        <f>TEXT(Table13[[#This Row],[Date of Call]],"dddd")</f>
        <v>Tuesday</v>
      </c>
      <c r="J3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49">
        <f>ROUND(Table13[[#This Row],[Satisfaction Rating]],0)</f>
        <v>3</v>
      </c>
    </row>
    <row r="350" spans="1:11" x14ac:dyDescent="0.3">
      <c r="A350" s="23" t="s">
        <v>391</v>
      </c>
      <c r="B350" s="6" t="s">
        <v>15</v>
      </c>
      <c r="C350" s="6">
        <v>159</v>
      </c>
      <c r="D350" s="13" t="s">
        <v>31</v>
      </c>
      <c r="E350" s="14">
        <v>45027</v>
      </c>
      <c r="F350" s="6">
        <v>42</v>
      </c>
      <c r="G350" s="24">
        <v>4.5</v>
      </c>
      <c r="H350">
        <f>IF(MONTH(Table13[[#This Row],[Date of Call]])&lt;6, YEAR(Table13[[#This Row],[Date of Call]]),YEAR(Table13[[#This Row],[Date of Call]])+1)</f>
        <v>2023</v>
      </c>
      <c r="I350" t="str">
        <f>TEXT(Table13[[#This Row],[Date of Call]],"dddd")</f>
        <v>Tuesday</v>
      </c>
      <c r="J3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50">
        <f>ROUND(Table13[[#This Row],[Satisfaction Rating]],0)</f>
        <v>5</v>
      </c>
    </row>
    <row r="351" spans="1:11" x14ac:dyDescent="0.3">
      <c r="A351" s="23" t="s">
        <v>392</v>
      </c>
      <c r="B351" s="6" t="s">
        <v>10</v>
      </c>
      <c r="C351" s="6">
        <v>25</v>
      </c>
      <c r="D351" s="13" t="s">
        <v>32</v>
      </c>
      <c r="E351" s="14">
        <v>45027</v>
      </c>
      <c r="F351" s="6">
        <v>75</v>
      </c>
      <c r="G351" s="24">
        <v>3.9</v>
      </c>
      <c r="H351">
        <f>IF(MONTH(Table13[[#This Row],[Date of Call]])&lt;6, YEAR(Table13[[#This Row],[Date of Call]]),YEAR(Table13[[#This Row],[Date of Call]])+1)</f>
        <v>2023</v>
      </c>
      <c r="I351" t="str">
        <f>TEXT(Table13[[#This Row],[Date of Call]],"dddd")</f>
        <v>Tuesday</v>
      </c>
      <c r="J3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51">
        <f>ROUND(Table13[[#This Row],[Satisfaction Rating]],0)</f>
        <v>4</v>
      </c>
    </row>
    <row r="352" spans="1:11" x14ac:dyDescent="0.3">
      <c r="A352" s="23" t="s">
        <v>393</v>
      </c>
      <c r="B352" s="6" t="s">
        <v>15</v>
      </c>
      <c r="C352" s="6">
        <v>53</v>
      </c>
      <c r="D352" s="13" t="s">
        <v>30</v>
      </c>
      <c r="E352" s="14">
        <v>45028</v>
      </c>
      <c r="F352" s="6">
        <v>23</v>
      </c>
      <c r="G352" s="24">
        <v>4.9000000000000004</v>
      </c>
      <c r="H352">
        <f>IF(MONTH(Table13[[#This Row],[Date of Call]])&lt;6, YEAR(Table13[[#This Row],[Date of Call]]),YEAR(Table13[[#This Row],[Date of Call]])+1)</f>
        <v>2023</v>
      </c>
      <c r="I352" t="str">
        <f>TEXT(Table13[[#This Row],[Date of Call]],"dddd")</f>
        <v>Wednesday</v>
      </c>
      <c r="J3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52">
        <f>ROUND(Table13[[#This Row],[Satisfaction Rating]],0)</f>
        <v>5</v>
      </c>
    </row>
    <row r="353" spans="1:11" x14ac:dyDescent="0.3">
      <c r="A353" s="23" t="s">
        <v>394</v>
      </c>
      <c r="B353" s="6" t="s">
        <v>15</v>
      </c>
      <c r="C353" s="6">
        <v>89</v>
      </c>
      <c r="D353" s="13" t="s">
        <v>32</v>
      </c>
      <c r="E353" s="14">
        <v>45028</v>
      </c>
      <c r="F353" s="6">
        <v>200</v>
      </c>
      <c r="G353" s="24">
        <v>4.8</v>
      </c>
      <c r="H353">
        <f>IF(MONTH(Table13[[#This Row],[Date of Call]])&lt;6, YEAR(Table13[[#This Row],[Date of Call]]),YEAR(Table13[[#This Row],[Date of Call]])+1)</f>
        <v>2023</v>
      </c>
      <c r="I353" t="str">
        <f>TEXT(Table13[[#This Row],[Date of Call]],"dddd")</f>
        <v>Wednesday</v>
      </c>
      <c r="J3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3">
        <f>ROUND(Table13[[#This Row],[Satisfaction Rating]],0)</f>
        <v>5</v>
      </c>
    </row>
    <row r="354" spans="1:11" x14ac:dyDescent="0.3">
      <c r="A354" s="23" t="s">
        <v>395</v>
      </c>
      <c r="B354" s="6" t="s">
        <v>17</v>
      </c>
      <c r="C354" s="6">
        <v>73</v>
      </c>
      <c r="D354" s="13" t="s">
        <v>29</v>
      </c>
      <c r="E354" s="14">
        <v>45029</v>
      </c>
      <c r="F354" s="6">
        <v>45</v>
      </c>
      <c r="G354" s="24">
        <v>3.6</v>
      </c>
      <c r="H354">
        <f>IF(MONTH(Table13[[#This Row],[Date of Call]])&lt;6, YEAR(Table13[[#This Row],[Date of Call]]),YEAR(Table13[[#This Row],[Date of Call]])+1)</f>
        <v>2023</v>
      </c>
      <c r="I354" t="str">
        <f>TEXT(Table13[[#This Row],[Date of Call]],"dddd")</f>
        <v>Thursday</v>
      </c>
      <c r="J3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4">
        <f>ROUND(Table13[[#This Row],[Satisfaction Rating]],0)</f>
        <v>4</v>
      </c>
    </row>
    <row r="355" spans="1:11" x14ac:dyDescent="0.3">
      <c r="A355" s="23" t="s">
        <v>396</v>
      </c>
      <c r="B355" s="6" t="s">
        <v>18</v>
      </c>
      <c r="C355" s="6">
        <v>50</v>
      </c>
      <c r="D355" s="13" t="s">
        <v>29</v>
      </c>
      <c r="E355" s="14">
        <v>45029</v>
      </c>
      <c r="F355" s="6">
        <v>105</v>
      </c>
      <c r="G355" s="24">
        <v>3.5</v>
      </c>
      <c r="H355">
        <f>IF(MONTH(Table13[[#This Row],[Date of Call]])&lt;6, YEAR(Table13[[#This Row],[Date of Call]]),YEAR(Table13[[#This Row],[Date of Call]])+1)</f>
        <v>2023</v>
      </c>
      <c r="I355" t="str">
        <f>TEXT(Table13[[#This Row],[Date of Call]],"dddd")</f>
        <v>Thursday</v>
      </c>
      <c r="J3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55">
        <f>ROUND(Table13[[#This Row],[Satisfaction Rating]],0)</f>
        <v>4</v>
      </c>
    </row>
    <row r="356" spans="1:11" x14ac:dyDescent="0.3">
      <c r="A356" s="23" t="s">
        <v>397</v>
      </c>
      <c r="B356" s="6" t="s">
        <v>14</v>
      </c>
      <c r="C356" s="6">
        <v>98</v>
      </c>
      <c r="D356" s="13" t="s">
        <v>29</v>
      </c>
      <c r="E356" s="14">
        <v>45029</v>
      </c>
      <c r="F356" s="6">
        <v>22</v>
      </c>
      <c r="G356" s="24">
        <v>3.8</v>
      </c>
      <c r="H356">
        <f>IF(MONTH(Table13[[#This Row],[Date of Call]])&lt;6, YEAR(Table13[[#This Row],[Date of Call]]),YEAR(Table13[[#This Row],[Date of Call]])+1)</f>
        <v>2023</v>
      </c>
      <c r="I356" t="str">
        <f>TEXT(Table13[[#This Row],[Date of Call]],"dddd")</f>
        <v>Thursday</v>
      </c>
      <c r="J3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6">
        <f>ROUND(Table13[[#This Row],[Satisfaction Rating]],0)</f>
        <v>4</v>
      </c>
    </row>
    <row r="357" spans="1:11" x14ac:dyDescent="0.3">
      <c r="A357" s="23" t="s">
        <v>398</v>
      </c>
      <c r="B357" s="6" t="s">
        <v>16</v>
      </c>
      <c r="C357" s="6">
        <v>114</v>
      </c>
      <c r="D357" s="13" t="s">
        <v>31</v>
      </c>
      <c r="E357" s="14">
        <v>45030</v>
      </c>
      <c r="F357" s="6">
        <v>126</v>
      </c>
      <c r="G357" s="24">
        <v>4.4000000000000004</v>
      </c>
      <c r="H357">
        <f>IF(MONTH(Table13[[#This Row],[Date of Call]])&lt;6, YEAR(Table13[[#This Row],[Date of Call]]),YEAR(Table13[[#This Row],[Date of Call]])+1)</f>
        <v>2023</v>
      </c>
      <c r="I357" t="str">
        <f>TEXT(Table13[[#This Row],[Date of Call]],"dddd")</f>
        <v>Friday</v>
      </c>
      <c r="J3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7">
        <f>ROUND(Table13[[#This Row],[Satisfaction Rating]],0)</f>
        <v>4</v>
      </c>
    </row>
    <row r="358" spans="1:11" x14ac:dyDescent="0.3">
      <c r="A358" s="23" t="s">
        <v>399</v>
      </c>
      <c r="B358" s="6" t="s">
        <v>9</v>
      </c>
      <c r="C358" s="6">
        <v>67</v>
      </c>
      <c r="D358" s="13" t="s">
        <v>31</v>
      </c>
      <c r="E358" s="14">
        <v>45030</v>
      </c>
      <c r="F358" s="6">
        <v>35</v>
      </c>
      <c r="G358" s="24">
        <v>3</v>
      </c>
      <c r="H358">
        <f>IF(MONTH(Table13[[#This Row],[Date of Call]])&lt;6, YEAR(Table13[[#This Row],[Date of Call]]),YEAR(Table13[[#This Row],[Date of Call]])+1)</f>
        <v>2023</v>
      </c>
      <c r="I358" t="str">
        <f>TEXT(Table13[[#This Row],[Date of Call]],"dddd")</f>
        <v>Friday</v>
      </c>
      <c r="J3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8">
        <f>ROUND(Table13[[#This Row],[Satisfaction Rating]],0)</f>
        <v>3</v>
      </c>
    </row>
    <row r="359" spans="1:11" x14ac:dyDescent="0.3">
      <c r="A359" s="23" t="s">
        <v>400</v>
      </c>
      <c r="B359" s="6" t="s">
        <v>8</v>
      </c>
      <c r="C359" s="6">
        <v>91</v>
      </c>
      <c r="D359" s="13" t="s">
        <v>29</v>
      </c>
      <c r="E359" s="14">
        <v>45030</v>
      </c>
      <c r="F359" s="6">
        <v>84</v>
      </c>
      <c r="G359" s="24">
        <v>4.5</v>
      </c>
      <c r="H359">
        <f>IF(MONTH(Table13[[#This Row],[Date of Call]])&lt;6, YEAR(Table13[[#This Row],[Date of Call]]),YEAR(Table13[[#This Row],[Date of Call]])+1)</f>
        <v>2023</v>
      </c>
      <c r="I359" t="str">
        <f>TEXT(Table13[[#This Row],[Date of Call]],"dddd")</f>
        <v>Friday</v>
      </c>
      <c r="J3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59">
        <f>ROUND(Table13[[#This Row],[Satisfaction Rating]],0)</f>
        <v>5</v>
      </c>
    </row>
    <row r="360" spans="1:11" x14ac:dyDescent="0.3">
      <c r="A360" s="23" t="s">
        <v>401</v>
      </c>
      <c r="B360" s="6" t="s">
        <v>11</v>
      </c>
      <c r="C360" s="6">
        <v>67</v>
      </c>
      <c r="D360" s="13" t="s">
        <v>29</v>
      </c>
      <c r="E360" s="14">
        <v>45031</v>
      </c>
      <c r="F360" s="6">
        <v>172</v>
      </c>
      <c r="G360" s="24">
        <v>4.5</v>
      </c>
      <c r="H360">
        <f>IF(MONTH(Table13[[#This Row],[Date of Call]])&lt;6, YEAR(Table13[[#This Row],[Date of Call]]),YEAR(Table13[[#This Row],[Date of Call]])+1)</f>
        <v>2023</v>
      </c>
      <c r="I360" t="str">
        <f>TEXT(Table13[[#This Row],[Date of Call]],"dddd")</f>
        <v>Saturday</v>
      </c>
      <c r="J3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60">
        <f>ROUND(Table13[[#This Row],[Satisfaction Rating]],0)</f>
        <v>5</v>
      </c>
    </row>
    <row r="361" spans="1:11" x14ac:dyDescent="0.3">
      <c r="A361" s="23" t="s">
        <v>402</v>
      </c>
      <c r="B361" s="6" t="s">
        <v>16</v>
      </c>
      <c r="C361" s="6">
        <v>139</v>
      </c>
      <c r="D361" s="13" t="s">
        <v>32</v>
      </c>
      <c r="E361" s="14">
        <v>45031</v>
      </c>
      <c r="F361" s="6">
        <v>114</v>
      </c>
      <c r="G361" s="24">
        <v>4</v>
      </c>
      <c r="H361">
        <f>IF(MONTH(Table13[[#This Row],[Date of Call]])&lt;6, YEAR(Table13[[#This Row],[Date of Call]]),YEAR(Table13[[#This Row],[Date of Call]])+1)</f>
        <v>2023</v>
      </c>
      <c r="I361" t="str">
        <f>TEXT(Table13[[#This Row],[Date of Call]],"dddd")</f>
        <v>Saturday</v>
      </c>
      <c r="J3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61">
        <f>ROUND(Table13[[#This Row],[Satisfaction Rating]],0)</f>
        <v>4</v>
      </c>
    </row>
    <row r="362" spans="1:11" x14ac:dyDescent="0.3">
      <c r="A362" s="23" t="s">
        <v>403</v>
      </c>
      <c r="B362" s="6" t="s">
        <v>11</v>
      </c>
      <c r="C362" s="6">
        <v>102</v>
      </c>
      <c r="D362" s="13" t="s">
        <v>32</v>
      </c>
      <c r="E362" s="14">
        <v>45031</v>
      </c>
      <c r="F362" s="6">
        <v>60</v>
      </c>
      <c r="G362" s="24">
        <v>3.8</v>
      </c>
      <c r="H362">
        <f>IF(MONTH(Table13[[#This Row],[Date of Call]])&lt;6, YEAR(Table13[[#This Row],[Date of Call]]),YEAR(Table13[[#This Row],[Date of Call]])+1)</f>
        <v>2023</v>
      </c>
      <c r="I362" t="str">
        <f>TEXT(Table13[[#This Row],[Date of Call]],"dddd")</f>
        <v>Saturday</v>
      </c>
      <c r="J3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62">
        <f>ROUND(Table13[[#This Row],[Satisfaction Rating]],0)</f>
        <v>4</v>
      </c>
    </row>
    <row r="363" spans="1:11" x14ac:dyDescent="0.3">
      <c r="A363" s="23" t="s">
        <v>404</v>
      </c>
      <c r="B363" s="6" t="s">
        <v>4</v>
      </c>
      <c r="C363" s="6">
        <v>108</v>
      </c>
      <c r="D363" s="13" t="s">
        <v>28</v>
      </c>
      <c r="E363" s="14">
        <v>45031</v>
      </c>
      <c r="F363" s="6">
        <v>26</v>
      </c>
      <c r="G363" s="24">
        <v>3.3</v>
      </c>
      <c r="H363">
        <f>IF(MONTH(Table13[[#This Row],[Date of Call]])&lt;6, YEAR(Table13[[#This Row],[Date of Call]]),YEAR(Table13[[#This Row],[Date of Call]])+1)</f>
        <v>2023</v>
      </c>
      <c r="I363" t="str">
        <f>TEXT(Table13[[#This Row],[Date of Call]],"dddd")</f>
        <v>Saturday</v>
      </c>
      <c r="J3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63">
        <f>ROUND(Table13[[#This Row],[Satisfaction Rating]],0)</f>
        <v>3</v>
      </c>
    </row>
    <row r="364" spans="1:11" x14ac:dyDescent="0.3">
      <c r="A364" s="23" t="s">
        <v>405</v>
      </c>
      <c r="B364" s="6" t="s">
        <v>10</v>
      </c>
      <c r="C364" s="6">
        <v>66</v>
      </c>
      <c r="D364" s="13" t="s">
        <v>29</v>
      </c>
      <c r="E364" s="14">
        <v>45031</v>
      </c>
      <c r="F364" s="6">
        <v>210</v>
      </c>
      <c r="G364" s="24">
        <v>4.3</v>
      </c>
      <c r="H364">
        <f>IF(MONTH(Table13[[#This Row],[Date of Call]])&lt;6, YEAR(Table13[[#This Row],[Date of Call]]),YEAR(Table13[[#This Row],[Date of Call]])+1)</f>
        <v>2023</v>
      </c>
      <c r="I364" t="str">
        <f>TEXT(Table13[[#This Row],[Date of Call]],"dddd")</f>
        <v>Saturday</v>
      </c>
      <c r="J3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64">
        <f>ROUND(Table13[[#This Row],[Satisfaction Rating]],0)</f>
        <v>4</v>
      </c>
    </row>
    <row r="365" spans="1:11" x14ac:dyDescent="0.3">
      <c r="A365" s="23" t="s">
        <v>406</v>
      </c>
      <c r="B365" s="6" t="s">
        <v>12</v>
      </c>
      <c r="C365" s="6">
        <v>85</v>
      </c>
      <c r="D365" s="13" t="s">
        <v>32</v>
      </c>
      <c r="E365" s="14">
        <v>45031</v>
      </c>
      <c r="F365" s="6">
        <v>129</v>
      </c>
      <c r="G365" s="24">
        <v>4.2</v>
      </c>
      <c r="H365">
        <f>IF(MONTH(Table13[[#This Row],[Date of Call]])&lt;6, YEAR(Table13[[#This Row],[Date of Call]]),YEAR(Table13[[#This Row],[Date of Call]])+1)</f>
        <v>2023</v>
      </c>
      <c r="I365" t="str">
        <f>TEXT(Table13[[#This Row],[Date of Call]],"dddd")</f>
        <v>Saturday</v>
      </c>
      <c r="J3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65">
        <f>ROUND(Table13[[#This Row],[Satisfaction Rating]],0)</f>
        <v>4</v>
      </c>
    </row>
    <row r="366" spans="1:11" x14ac:dyDescent="0.3">
      <c r="A366" s="23" t="s">
        <v>407</v>
      </c>
      <c r="B366" s="6" t="s">
        <v>9</v>
      </c>
      <c r="C366" s="6">
        <v>55</v>
      </c>
      <c r="D366" s="13" t="s">
        <v>28</v>
      </c>
      <c r="E366" s="14">
        <v>45031</v>
      </c>
      <c r="F366" s="6">
        <v>215</v>
      </c>
      <c r="G366" s="24">
        <v>4.3</v>
      </c>
      <c r="H366">
        <f>IF(MONTH(Table13[[#This Row],[Date of Call]])&lt;6, YEAR(Table13[[#This Row],[Date of Call]]),YEAR(Table13[[#This Row],[Date of Call]])+1)</f>
        <v>2023</v>
      </c>
      <c r="I366" t="str">
        <f>TEXT(Table13[[#This Row],[Date of Call]],"dddd")</f>
        <v>Saturday</v>
      </c>
      <c r="J3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66">
        <f>ROUND(Table13[[#This Row],[Satisfaction Rating]],0)</f>
        <v>4</v>
      </c>
    </row>
    <row r="367" spans="1:11" x14ac:dyDescent="0.3">
      <c r="A367" s="23" t="s">
        <v>408</v>
      </c>
      <c r="B367" s="6" t="s">
        <v>4</v>
      </c>
      <c r="C367" s="6">
        <v>17</v>
      </c>
      <c r="D367" s="13" t="s">
        <v>30</v>
      </c>
      <c r="E367" s="14">
        <v>45031</v>
      </c>
      <c r="F367" s="6">
        <v>69</v>
      </c>
      <c r="G367" s="24">
        <v>4.5999999999999996</v>
      </c>
      <c r="H367">
        <f>IF(MONTH(Table13[[#This Row],[Date of Call]])&lt;6, YEAR(Table13[[#This Row],[Date of Call]]),YEAR(Table13[[#This Row],[Date of Call]])+1)</f>
        <v>2023</v>
      </c>
      <c r="I367" t="str">
        <f>TEXT(Table13[[#This Row],[Date of Call]],"dddd")</f>
        <v>Saturday</v>
      </c>
      <c r="J3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67">
        <f>ROUND(Table13[[#This Row],[Satisfaction Rating]],0)</f>
        <v>5</v>
      </c>
    </row>
    <row r="368" spans="1:11" x14ac:dyDescent="0.3">
      <c r="A368" s="23" t="s">
        <v>409</v>
      </c>
      <c r="B368" s="6" t="s">
        <v>9</v>
      </c>
      <c r="C368" s="6">
        <v>128</v>
      </c>
      <c r="D368" s="13" t="s">
        <v>30</v>
      </c>
      <c r="E368" s="14">
        <v>45031</v>
      </c>
      <c r="F368" s="6">
        <v>140</v>
      </c>
      <c r="G368" s="24">
        <v>3</v>
      </c>
      <c r="H368">
        <f>IF(MONTH(Table13[[#This Row],[Date of Call]])&lt;6, YEAR(Table13[[#This Row],[Date of Call]]),YEAR(Table13[[#This Row],[Date of Call]])+1)</f>
        <v>2023</v>
      </c>
      <c r="I368" t="str">
        <f>TEXT(Table13[[#This Row],[Date of Call]],"dddd")</f>
        <v>Saturday</v>
      </c>
      <c r="J3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68">
        <f>ROUND(Table13[[#This Row],[Satisfaction Rating]],0)</f>
        <v>3</v>
      </c>
    </row>
    <row r="369" spans="1:11" x14ac:dyDescent="0.3">
      <c r="A369" s="23" t="s">
        <v>410</v>
      </c>
      <c r="B369" s="6" t="s">
        <v>18</v>
      </c>
      <c r="C369" s="6">
        <v>45</v>
      </c>
      <c r="D369" s="13" t="s">
        <v>28</v>
      </c>
      <c r="E369" s="14">
        <v>45032</v>
      </c>
      <c r="F369" s="6">
        <v>156</v>
      </c>
      <c r="G369" s="24">
        <v>2.7</v>
      </c>
      <c r="H369">
        <f>IF(MONTH(Table13[[#This Row],[Date of Call]])&lt;6, YEAR(Table13[[#This Row],[Date of Call]]),YEAR(Table13[[#This Row],[Date of Call]])+1)</f>
        <v>2023</v>
      </c>
      <c r="I369" t="str">
        <f>TEXT(Table13[[#This Row],[Date of Call]],"dddd")</f>
        <v>Sunday</v>
      </c>
      <c r="J3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69">
        <f>ROUND(Table13[[#This Row],[Satisfaction Rating]],0)</f>
        <v>3</v>
      </c>
    </row>
    <row r="370" spans="1:11" x14ac:dyDescent="0.3">
      <c r="A370" s="23" t="s">
        <v>411</v>
      </c>
      <c r="B370" s="6" t="s">
        <v>4</v>
      </c>
      <c r="C370" s="6">
        <v>41</v>
      </c>
      <c r="D370" s="13" t="s">
        <v>30</v>
      </c>
      <c r="E370" s="14">
        <v>45032</v>
      </c>
      <c r="F370" s="6">
        <v>164</v>
      </c>
      <c r="G370" s="24">
        <v>3.1</v>
      </c>
      <c r="H370">
        <f>IF(MONTH(Table13[[#This Row],[Date of Call]])&lt;6, YEAR(Table13[[#This Row],[Date of Call]]),YEAR(Table13[[#This Row],[Date of Call]])+1)</f>
        <v>2023</v>
      </c>
      <c r="I370" t="str">
        <f>TEXT(Table13[[#This Row],[Date of Call]],"dddd")</f>
        <v>Sunday</v>
      </c>
      <c r="J3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70">
        <f>ROUND(Table13[[#This Row],[Satisfaction Rating]],0)</f>
        <v>3</v>
      </c>
    </row>
    <row r="371" spans="1:11" x14ac:dyDescent="0.3">
      <c r="A371" s="23" t="s">
        <v>412</v>
      </c>
      <c r="B371" s="6" t="s">
        <v>5</v>
      </c>
      <c r="C371" s="6">
        <v>49</v>
      </c>
      <c r="D371" s="13" t="s">
        <v>30</v>
      </c>
      <c r="E371" s="14">
        <v>45032</v>
      </c>
      <c r="F371" s="6">
        <v>195</v>
      </c>
      <c r="G371" s="24">
        <v>2.6</v>
      </c>
      <c r="H371">
        <f>IF(MONTH(Table13[[#This Row],[Date of Call]])&lt;6, YEAR(Table13[[#This Row],[Date of Call]]),YEAR(Table13[[#This Row],[Date of Call]])+1)</f>
        <v>2023</v>
      </c>
      <c r="I371" t="str">
        <f>TEXT(Table13[[#This Row],[Date of Call]],"dddd")</f>
        <v>Sunday</v>
      </c>
      <c r="J3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71">
        <f>ROUND(Table13[[#This Row],[Satisfaction Rating]],0)</f>
        <v>3</v>
      </c>
    </row>
    <row r="372" spans="1:11" x14ac:dyDescent="0.3">
      <c r="A372" s="23" t="s">
        <v>413</v>
      </c>
      <c r="B372" s="6" t="s">
        <v>7</v>
      </c>
      <c r="C372" s="6">
        <v>21</v>
      </c>
      <c r="D372" s="13" t="s">
        <v>31</v>
      </c>
      <c r="E372" s="14">
        <v>45032</v>
      </c>
      <c r="F372" s="6">
        <v>74</v>
      </c>
      <c r="G372" s="24">
        <v>4.5999999999999996</v>
      </c>
      <c r="H372">
        <f>IF(MONTH(Table13[[#This Row],[Date of Call]])&lt;6, YEAR(Table13[[#This Row],[Date of Call]]),YEAR(Table13[[#This Row],[Date of Call]])+1)</f>
        <v>2023</v>
      </c>
      <c r="I372" t="str">
        <f>TEXT(Table13[[#This Row],[Date of Call]],"dddd")</f>
        <v>Sunday</v>
      </c>
      <c r="J3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72">
        <f>ROUND(Table13[[#This Row],[Satisfaction Rating]],0)</f>
        <v>5</v>
      </c>
    </row>
    <row r="373" spans="1:11" x14ac:dyDescent="0.3">
      <c r="A373" s="23" t="s">
        <v>414</v>
      </c>
      <c r="B373" s="6" t="s">
        <v>15</v>
      </c>
      <c r="C373" s="6">
        <v>133</v>
      </c>
      <c r="D373" s="13" t="s">
        <v>28</v>
      </c>
      <c r="E373" s="14">
        <v>45032</v>
      </c>
      <c r="F373" s="6">
        <v>100</v>
      </c>
      <c r="G373" s="24">
        <v>4</v>
      </c>
      <c r="H373">
        <f>IF(MONTH(Table13[[#This Row],[Date of Call]])&lt;6, YEAR(Table13[[#This Row],[Date of Call]]),YEAR(Table13[[#This Row],[Date of Call]])+1)</f>
        <v>2023</v>
      </c>
      <c r="I373" t="str">
        <f>TEXT(Table13[[#This Row],[Date of Call]],"dddd")</f>
        <v>Sunday</v>
      </c>
      <c r="J3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73">
        <f>ROUND(Table13[[#This Row],[Satisfaction Rating]],0)</f>
        <v>4</v>
      </c>
    </row>
    <row r="374" spans="1:11" x14ac:dyDescent="0.3">
      <c r="A374" s="23" t="s">
        <v>415</v>
      </c>
      <c r="B374" s="6" t="s">
        <v>6</v>
      </c>
      <c r="C374" s="6">
        <v>135</v>
      </c>
      <c r="D374" s="13" t="s">
        <v>29</v>
      </c>
      <c r="E374" s="14">
        <v>45032</v>
      </c>
      <c r="F374" s="6">
        <v>185</v>
      </c>
      <c r="G374" s="24">
        <v>4.5</v>
      </c>
      <c r="H374">
        <f>IF(MONTH(Table13[[#This Row],[Date of Call]])&lt;6, YEAR(Table13[[#This Row],[Date of Call]]),YEAR(Table13[[#This Row],[Date of Call]])+1)</f>
        <v>2023</v>
      </c>
      <c r="I374" t="str">
        <f>TEXT(Table13[[#This Row],[Date of Call]],"dddd")</f>
        <v>Sunday</v>
      </c>
      <c r="J3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74">
        <f>ROUND(Table13[[#This Row],[Satisfaction Rating]],0)</f>
        <v>5</v>
      </c>
    </row>
    <row r="375" spans="1:11" x14ac:dyDescent="0.3">
      <c r="A375" s="23" t="s">
        <v>416</v>
      </c>
      <c r="B375" s="6" t="s">
        <v>16</v>
      </c>
      <c r="C375" s="6">
        <v>69</v>
      </c>
      <c r="D375" s="13" t="s">
        <v>28</v>
      </c>
      <c r="E375" s="14">
        <v>45032</v>
      </c>
      <c r="F375" s="6">
        <v>130</v>
      </c>
      <c r="G375" s="24">
        <v>1.9</v>
      </c>
      <c r="H375">
        <f>IF(MONTH(Table13[[#This Row],[Date of Call]])&lt;6, YEAR(Table13[[#This Row],[Date of Call]]),YEAR(Table13[[#This Row],[Date of Call]])+1)</f>
        <v>2023</v>
      </c>
      <c r="I375" t="str">
        <f>TEXT(Table13[[#This Row],[Date of Call]],"dddd")</f>
        <v>Sunday</v>
      </c>
      <c r="J3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75">
        <f>ROUND(Table13[[#This Row],[Satisfaction Rating]],0)</f>
        <v>2</v>
      </c>
    </row>
    <row r="376" spans="1:11" x14ac:dyDescent="0.3">
      <c r="A376" s="23" t="s">
        <v>417</v>
      </c>
      <c r="B376" s="6" t="s">
        <v>13</v>
      </c>
      <c r="C376" s="6">
        <v>110</v>
      </c>
      <c r="D376" s="13" t="s">
        <v>31</v>
      </c>
      <c r="E376" s="14">
        <v>45033</v>
      </c>
      <c r="F376" s="6">
        <v>21</v>
      </c>
      <c r="G376" s="24">
        <v>2.6</v>
      </c>
      <c r="H376">
        <f>IF(MONTH(Table13[[#This Row],[Date of Call]])&lt;6, YEAR(Table13[[#This Row],[Date of Call]]),YEAR(Table13[[#This Row],[Date of Call]])+1)</f>
        <v>2023</v>
      </c>
      <c r="I376" t="str">
        <f>TEXT(Table13[[#This Row],[Date of Call]],"dddd")</f>
        <v>Monday</v>
      </c>
      <c r="J3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76">
        <f>ROUND(Table13[[#This Row],[Satisfaction Rating]],0)</f>
        <v>3</v>
      </c>
    </row>
    <row r="377" spans="1:11" x14ac:dyDescent="0.3">
      <c r="A377" s="23" t="s">
        <v>418</v>
      </c>
      <c r="B377" s="6" t="s">
        <v>11</v>
      </c>
      <c r="C377" s="6">
        <v>64</v>
      </c>
      <c r="D377" s="13" t="s">
        <v>32</v>
      </c>
      <c r="E377" s="14">
        <v>45033</v>
      </c>
      <c r="F377" s="6">
        <v>88</v>
      </c>
      <c r="G377" s="24">
        <v>4.3</v>
      </c>
      <c r="H377">
        <f>IF(MONTH(Table13[[#This Row],[Date of Call]])&lt;6, YEAR(Table13[[#This Row],[Date of Call]]),YEAR(Table13[[#This Row],[Date of Call]])+1)</f>
        <v>2023</v>
      </c>
      <c r="I377" t="str">
        <f>TEXT(Table13[[#This Row],[Date of Call]],"dddd")</f>
        <v>Monday</v>
      </c>
      <c r="J3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77">
        <f>ROUND(Table13[[#This Row],[Satisfaction Rating]],0)</f>
        <v>4</v>
      </c>
    </row>
    <row r="378" spans="1:11" x14ac:dyDescent="0.3">
      <c r="A378" s="23" t="s">
        <v>419</v>
      </c>
      <c r="B378" s="6" t="s">
        <v>8</v>
      </c>
      <c r="C378" s="6">
        <v>105</v>
      </c>
      <c r="D378" s="13" t="s">
        <v>30</v>
      </c>
      <c r="E378" s="14">
        <v>45033</v>
      </c>
      <c r="F378" s="6">
        <v>35</v>
      </c>
      <c r="G378" s="24">
        <v>4.4000000000000004</v>
      </c>
      <c r="H378">
        <f>IF(MONTH(Table13[[#This Row],[Date of Call]])&lt;6, YEAR(Table13[[#This Row],[Date of Call]]),YEAR(Table13[[#This Row],[Date of Call]])+1)</f>
        <v>2023</v>
      </c>
      <c r="I378" t="str">
        <f>TEXT(Table13[[#This Row],[Date of Call]],"dddd")</f>
        <v>Monday</v>
      </c>
      <c r="J3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78">
        <f>ROUND(Table13[[#This Row],[Satisfaction Rating]],0)</f>
        <v>4</v>
      </c>
    </row>
    <row r="379" spans="1:11" x14ac:dyDescent="0.3">
      <c r="A379" s="23" t="s">
        <v>420</v>
      </c>
      <c r="B379" s="6" t="s">
        <v>11</v>
      </c>
      <c r="C379" s="6">
        <v>165</v>
      </c>
      <c r="D379" s="13" t="s">
        <v>29</v>
      </c>
      <c r="E379" s="14">
        <v>45033</v>
      </c>
      <c r="F379" s="6">
        <v>68</v>
      </c>
      <c r="G379" s="24">
        <v>4.3</v>
      </c>
      <c r="H379">
        <f>IF(MONTH(Table13[[#This Row],[Date of Call]])&lt;6, YEAR(Table13[[#This Row],[Date of Call]]),YEAR(Table13[[#This Row],[Date of Call]])+1)</f>
        <v>2023</v>
      </c>
      <c r="I379" t="str">
        <f>TEXT(Table13[[#This Row],[Date of Call]],"dddd")</f>
        <v>Monday</v>
      </c>
      <c r="J3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79">
        <f>ROUND(Table13[[#This Row],[Satisfaction Rating]],0)</f>
        <v>4</v>
      </c>
    </row>
    <row r="380" spans="1:11" x14ac:dyDescent="0.3">
      <c r="A380" s="23" t="s">
        <v>421</v>
      </c>
      <c r="B380" s="6" t="s">
        <v>18</v>
      </c>
      <c r="C380" s="6">
        <v>125</v>
      </c>
      <c r="D380" s="13" t="s">
        <v>29</v>
      </c>
      <c r="E380" s="14">
        <v>45033</v>
      </c>
      <c r="F380" s="6">
        <v>148</v>
      </c>
      <c r="G380" s="24">
        <v>4.5</v>
      </c>
      <c r="H380">
        <f>IF(MONTH(Table13[[#This Row],[Date of Call]])&lt;6, YEAR(Table13[[#This Row],[Date of Call]]),YEAR(Table13[[#This Row],[Date of Call]])+1)</f>
        <v>2023</v>
      </c>
      <c r="I380" t="str">
        <f>TEXT(Table13[[#This Row],[Date of Call]],"dddd")</f>
        <v>Monday</v>
      </c>
      <c r="J3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80">
        <f>ROUND(Table13[[#This Row],[Satisfaction Rating]],0)</f>
        <v>5</v>
      </c>
    </row>
    <row r="381" spans="1:11" x14ac:dyDescent="0.3">
      <c r="A381" s="23" t="s">
        <v>422</v>
      </c>
      <c r="B381" s="6" t="s">
        <v>8</v>
      </c>
      <c r="C381" s="6">
        <v>88</v>
      </c>
      <c r="D381" s="13" t="s">
        <v>32</v>
      </c>
      <c r="E381" s="14">
        <v>45034</v>
      </c>
      <c r="F381" s="6">
        <v>81</v>
      </c>
      <c r="G381" s="24">
        <v>4.2</v>
      </c>
      <c r="H381">
        <f>IF(MONTH(Table13[[#This Row],[Date of Call]])&lt;6, YEAR(Table13[[#This Row],[Date of Call]]),YEAR(Table13[[#This Row],[Date of Call]])+1)</f>
        <v>2023</v>
      </c>
      <c r="I381" t="str">
        <f>TEXT(Table13[[#This Row],[Date of Call]],"dddd")</f>
        <v>Tuesday</v>
      </c>
      <c r="J3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81">
        <f>ROUND(Table13[[#This Row],[Satisfaction Rating]],0)</f>
        <v>4</v>
      </c>
    </row>
    <row r="382" spans="1:11" x14ac:dyDescent="0.3">
      <c r="A382" s="23" t="s">
        <v>423</v>
      </c>
      <c r="B382" s="6" t="s">
        <v>16</v>
      </c>
      <c r="C382" s="6">
        <v>6</v>
      </c>
      <c r="D382" s="13" t="s">
        <v>32</v>
      </c>
      <c r="E382" s="14">
        <v>45034</v>
      </c>
      <c r="F382" s="6">
        <v>75</v>
      </c>
      <c r="G382" s="24">
        <v>3.9</v>
      </c>
      <c r="H382">
        <f>IF(MONTH(Table13[[#This Row],[Date of Call]])&lt;6, YEAR(Table13[[#This Row],[Date of Call]]),YEAR(Table13[[#This Row],[Date of Call]])+1)</f>
        <v>2023</v>
      </c>
      <c r="I382" t="str">
        <f>TEXT(Table13[[#This Row],[Date of Call]],"dddd")</f>
        <v>Tuesday</v>
      </c>
      <c r="J3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382">
        <f>ROUND(Table13[[#This Row],[Satisfaction Rating]],0)</f>
        <v>4</v>
      </c>
    </row>
    <row r="383" spans="1:11" x14ac:dyDescent="0.3">
      <c r="A383" s="23" t="s">
        <v>424</v>
      </c>
      <c r="B383" s="6" t="s">
        <v>12</v>
      </c>
      <c r="C383" s="6">
        <v>69</v>
      </c>
      <c r="D383" s="13" t="s">
        <v>28</v>
      </c>
      <c r="E383" s="14">
        <v>45035</v>
      </c>
      <c r="F383" s="6">
        <v>32</v>
      </c>
      <c r="G383" s="24">
        <v>3.6</v>
      </c>
      <c r="H383">
        <f>IF(MONTH(Table13[[#This Row],[Date of Call]])&lt;6, YEAR(Table13[[#This Row],[Date of Call]]),YEAR(Table13[[#This Row],[Date of Call]])+1)</f>
        <v>2023</v>
      </c>
      <c r="I383" t="str">
        <f>TEXT(Table13[[#This Row],[Date of Call]],"dddd")</f>
        <v>Wednesday</v>
      </c>
      <c r="J3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83">
        <f>ROUND(Table13[[#This Row],[Satisfaction Rating]],0)</f>
        <v>4</v>
      </c>
    </row>
    <row r="384" spans="1:11" x14ac:dyDescent="0.3">
      <c r="A384" s="23" t="s">
        <v>425</v>
      </c>
      <c r="B384" s="6" t="s">
        <v>4</v>
      </c>
      <c r="C384" s="6">
        <v>107</v>
      </c>
      <c r="D384" s="13" t="s">
        <v>28</v>
      </c>
      <c r="E384" s="14">
        <v>45035</v>
      </c>
      <c r="F384" s="6">
        <v>156</v>
      </c>
      <c r="G384" s="24">
        <v>3.8</v>
      </c>
      <c r="H384">
        <f>IF(MONTH(Table13[[#This Row],[Date of Call]])&lt;6, YEAR(Table13[[#This Row],[Date of Call]]),YEAR(Table13[[#This Row],[Date of Call]])+1)</f>
        <v>2023</v>
      </c>
      <c r="I384" t="str">
        <f>TEXT(Table13[[#This Row],[Date of Call]],"dddd")</f>
        <v>Wednesday</v>
      </c>
      <c r="J3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84">
        <f>ROUND(Table13[[#This Row],[Satisfaction Rating]],0)</f>
        <v>4</v>
      </c>
    </row>
    <row r="385" spans="1:11" x14ac:dyDescent="0.3">
      <c r="A385" s="23" t="s">
        <v>426</v>
      </c>
      <c r="B385" s="6" t="s">
        <v>7</v>
      </c>
      <c r="C385" s="6">
        <v>90</v>
      </c>
      <c r="D385" s="13" t="s">
        <v>29</v>
      </c>
      <c r="E385" s="14">
        <v>45035</v>
      </c>
      <c r="F385" s="6">
        <v>99</v>
      </c>
      <c r="G385" s="24">
        <v>4.9000000000000004</v>
      </c>
      <c r="H385">
        <f>IF(MONTH(Table13[[#This Row],[Date of Call]])&lt;6, YEAR(Table13[[#This Row],[Date of Call]]),YEAR(Table13[[#This Row],[Date of Call]])+1)</f>
        <v>2023</v>
      </c>
      <c r="I385" t="str">
        <f>TEXT(Table13[[#This Row],[Date of Call]],"dddd")</f>
        <v>Wednesday</v>
      </c>
      <c r="J3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85">
        <f>ROUND(Table13[[#This Row],[Satisfaction Rating]],0)</f>
        <v>5</v>
      </c>
    </row>
    <row r="386" spans="1:11" x14ac:dyDescent="0.3">
      <c r="A386" s="23" t="s">
        <v>427</v>
      </c>
      <c r="B386" s="6" t="s">
        <v>6</v>
      </c>
      <c r="C386" s="6">
        <v>120</v>
      </c>
      <c r="D386" s="13" t="s">
        <v>30</v>
      </c>
      <c r="E386" s="14">
        <v>45035</v>
      </c>
      <c r="F386" s="6">
        <v>26</v>
      </c>
      <c r="G386" s="24">
        <v>4</v>
      </c>
      <c r="H386">
        <f>IF(MONTH(Table13[[#This Row],[Date of Call]])&lt;6, YEAR(Table13[[#This Row],[Date of Call]]),YEAR(Table13[[#This Row],[Date of Call]])+1)</f>
        <v>2023</v>
      </c>
      <c r="I386" t="str">
        <f>TEXT(Table13[[#This Row],[Date of Call]],"dddd")</f>
        <v>Wednesday</v>
      </c>
      <c r="J3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86">
        <f>ROUND(Table13[[#This Row],[Satisfaction Rating]],0)</f>
        <v>4</v>
      </c>
    </row>
    <row r="387" spans="1:11" x14ac:dyDescent="0.3">
      <c r="A387" s="23" t="s">
        <v>428</v>
      </c>
      <c r="B387" s="6" t="s">
        <v>14</v>
      </c>
      <c r="C387" s="6">
        <v>47</v>
      </c>
      <c r="D387" s="13" t="s">
        <v>28</v>
      </c>
      <c r="E387" s="14">
        <v>45035</v>
      </c>
      <c r="F387" s="6">
        <v>84</v>
      </c>
      <c r="G387" s="24">
        <v>4.0999999999999996</v>
      </c>
      <c r="H387">
        <f>IF(MONTH(Table13[[#This Row],[Date of Call]])&lt;6, YEAR(Table13[[#This Row],[Date of Call]]),YEAR(Table13[[#This Row],[Date of Call]])+1)</f>
        <v>2023</v>
      </c>
      <c r="I387" t="str">
        <f>TEXT(Table13[[#This Row],[Date of Call]],"dddd")</f>
        <v>Wednesday</v>
      </c>
      <c r="J3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87">
        <f>ROUND(Table13[[#This Row],[Satisfaction Rating]],0)</f>
        <v>4</v>
      </c>
    </row>
    <row r="388" spans="1:11" x14ac:dyDescent="0.3">
      <c r="A388" s="23" t="s">
        <v>429</v>
      </c>
      <c r="B388" s="6" t="s">
        <v>17</v>
      </c>
      <c r="C388" s="6">
        <v>60</v>
      </c>
      <c r="D388" s="13" t="s">
        <v>30</v>
      </c>
      <c r="E388" s="14">
        <v>45035</v>
      </c>
      <c r="F388" s="6">
        <v>84</v>
      </c>
      <c r="G388" s="24">
        <v>4.8</v>
      </c>
      <c r="H388">
        <f>IF(MONTH(Table13[[#This Row],[Date of Call]])&lt;6, YEAR(Table13[[#This Row],[Date of Call]]),YEAR(Table13[[#This Row],[Date of Call]])+1)</f>
        <v>2023</v>
      </c>
      <c r="I388" t="str">
        <f>TEXT(Table13[[#This Row],[Date of Call]],"dddd")</f>
        <v>Wednesday</v>
      </c>
      <c r="J3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88">
        <f>ROUND(Table13[[#This Row],[Satisfaction Rating]],0)</f>
        <v>5</v>
      </c>
    </row>
    <row r="389" spans="1:11" x14ac:dyDescent="0.3">
      <c r="A389" s="23" t="s">
        <v>430</v>
      </c>
      <c r="B389" s="6" t="s">
        <v>9</v>
      </c>
      <c r="C389" s="6">
        <v>64</v>
      </c>
      <c r="D389" s="13" t="s">
        <v>29</v>
      </c>
      <c r="E389" s="14">
        <v>45035</v>
      </c>
      <c r="F389" s="6">
        <v>170</v>
      </c>
      <c r="G389" s="24">
        <v>2.2999999999999998</v>
      </c>
      <c r="H389">
        <f>IF(MONTH(Table13[[#This Row],[Date of Call]])&lt;6, YEAR(Table13[[#This Row],[Date of Call]]),YEAR(Table13[[#This Row],[Date of Call]])+1)</f>
        <v>2023</v>
      </c>
      <c r="I389" t="str">
        <f>TEXT(Table13[[#This Row],[Date of Call]],"dddd")</f>
        <v>Wednesday</v>
      </c>
      <c r="J3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89">
        <f>ROUND(Table13[[#This Row],[Satisfaction Rating]],0)</f>
        <v>2</v>
      </c>
    </row>
    <row r="390" spans="1:11" x14ac:dyDescent="0.3">
      <c r="A390" s="23" t="s">
        <v>431</v>
      </c>
      <c r="B390" s="6" t="s">
        <v>11</v>
      </c>
      <c r="C390" s="6">
        <v>62</v>
      </c>
      <c r="D390" s="13" t="s">
        <v>28</v>
      </c>
      <c r="E390" s="14">
        <v>45035</v>
      </c>
      <c r="F390" s="6">
        <v>35</v>
      </c>
      <c r="G390" s="24">
        <v>4.4000000000000004</v>
      </c>
      <c r="H390">
        <f>IF(MONTH(Table13[[#This Row],[Date of Call]])&lt;6, YEAR(Table13[[#This Row],[Date of Call]]),YEAR(Table13[[#This Row],[Date of Call]])+1)</f>
        <v>2023</v>
      </c>
      <c r="I390" t="str">
        <f>TEXT(Table13[[#This Row],[Date of Call]],"dddd")</f>
        <v>Wednesday</v>
      </c>
      <c r="J3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0">
        <f>ROUND(Table13[[#This Row],[Satisfaction Rating]],0)</f>
        <v>4</v>
      </c>
    </row>
    <row r="391" spans="1:11" x14ac:dyDescent="0.3">
      <c r="A391" s="23" t="s">
        <v>432</v>
      </c>
      <c r="B391" s="6" t="s">
        <v>13</v>
      </c>
      <c r="C391" s="6">
        <v>88</v>
      </c>
      <c r="D391" s="13" t="s">
        <v>28</v>
      </c>
      <c r="E391" s="14">
        <v>45036</v>
      </c>
      <c r="F391" s="6">
        <v>35</v>
      </c>
      <c r="G391" s="24">
        <v>3.8</v>
      </c>
      <c r="H391">
        <f>IF(MONTH(Table13[[#This Row],[Date of Call]])&lt;6, YEAR(Table13[[#This Row],[Date of Call]]),YEAR(Table13[[#This Row],[Date of Call]])+1)</f>
        <v>2023</v>
      </c>
      <c r="I391" t="str">
        <f>TEXT(Table13[[#This Row],[Date of Call]],"dddd")</f>
        <v>Thursday</v>
      </c>
      <c r="J3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1">
        <f>ROUND(Table13[[#This Row],[Satisfaction Rating]],0)</f>
        <v>4</v>
      </c>
    </row>
    <row r="392" spans="1:11" x14ac:dyDescent="0.3">
      <c r="A392" s="23" t="s">
        <v>433</v>
      </c>
      <c r="B392" s="6" t="s">
        <v>18</v>
      </c>
      <c r="C392" s="6">
        <v>116</v>
      </c>
      <c r="D392" s="13" t="s">
        <v>28</v>
      </c>
      <c r="E392" s="14">
        <v>45036</v>
      </c>
      <c r="F392" s="6">
        <v>132</v>
      </c>
      <c r="G392" s="24">
        <v>5</v>
      </c>
      <c r="H392">
        <f>IF(MONTH(Table13[[#This Row],[Date of Call]])&lt;6, YEAR(Table13[[#This Row],[Date of Call]]),YEAR(Table13[[#This Row],[Date of Call]])+1)</f>
        <v>2023</v>
      </c>
      <c r="I392" t="str">
        <f>TEXT(Table13[[#This Row],[Date of Call]],"dddd")</f>
        <v>Thursday</v>
      </c>
      <c r="J3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2">
        <f>ROUND(Table13[[#This Row],[Satisfaction Rating]],0)</f>
        <v>5</v>
      </c>
    </row>
    <row r="393" spans="1:11" x14ac:dyDescent="0.3">
      <c r="A393" s="23" t="s">
        <v>434</v>
      </c>
      <c r="B393" s="6" t="s">
        <v>7</v>
      </c>
      <c r="C393" s="6">
        <v>82</v>
      </c>
      <c r="D393" s="13" t="s">
        <v>32</v>
      </c>
      <c r="E393" s="14">
        <v>45037</v>
      </c>
      <c r="F393" s="6">
        <v>144</v>
      </c>
      <c r="G393" s="24">
        <v>3.3</v>
      </c>
      <c r="H393">
        <f>IF(MONTH(Table13[[#This Row],[Date of Call]])&lt;6, YEAR(Table13[[#This Row],[Date of Call]]),YEAR(Table13[[#This Row],[Date of Call]])+1)</f>
        <v>2023</v>
      </c>
      <c r="I393" t="str">
        <f>TEXT(Table13[[#This Row],[Date of Call]],"dddd")</f>
        <v>Friday</v>
      </c>
      <c r="J3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3">
        <f>ROUND(Table13[[#This Row],[Satisfaction Rating]],0)</f>
        <v>3</v>
      </c>
    </row>
    <row r="394" spans="1:11" x14ac:dyDescent="0.3">
      <c r="A394" s="23" t="s">
        <v>435</v>
      </c>
      <c r="B394" s="6" t="s">
        <v>11</v>
      </c>
      <c r="C394" s="6">
        <v>99</v>
      </c>
      <c r="D394" s="13" t="s">
        <v>29</v>
      </c>
      <c r="E394" s="14">
        <v>45037</v>
      </c>
      <c r="F394" s="6">
        <v>48</v>
      </c>
      <c r="G394" s="24">
        <v>5</v>
      </c>
      <c r="H394">
        <f>IF(MONTH(Table13[[#This Row],[Date of Call]])&lt;6, YEAR(Table13[[#This Row],[Date of Call]]),YEAR(Table13[[#This Row],[Date of Call]])+1)</f>
        <v>2023</v>
      </c>
      <c r="I394" t="str">
        <f>TEXT(Table13[[#This Row],[Date of Call]],"dddd")</f>
        <v>Friday</v>
      </c>
      <c r="J3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4">
        <f>ROUND(Table13[[#This Row],[Satisfaction Rating]],0)</f>
        <v>5</v>
      </c>
    </row>
    <row r="395" spans="1:11" x14ac:dyDescent="0.3">
      <c r="A395" s="23" t="s">
        <v>436</v>
      </c>
      <c r="B395" s="6" t="s">
        <v>11</v>
      </c>
      <c r="C395" s="6">
        <v>55</v>
      </c>
      <c r="D395" s="13" t="s">
        <v>32</v>
      </c>
      <c r="E395" s="14">
        <v>45037</v>
      </c>
      <c r="F395" s="6">
        <v>200</v>
      </c>
      <c r="G395" s="24">
        <v>2.2999999999999998</v>
      </c>
      <c r="H395">
        <f>IF(MONTH(Table13[[#This Row],[Date of Call]])&lt;6, YEAR(Table13[[#This Row],[Date of Call]]),YEAR(Table13[[#This Row],[Date of Call]])+1)</f>
        <v>2023</v>
      </c>
      <c r="I395" t="str">
        <f>TEXT(Table13[[#This Row],[Date of Call]],"dddd")</f>
        <v>Friday</v>
      </c>
      <c r="J3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95">
        <f>ROUND(Table13[[#This Row],[Satisfaction Rating]],0)</f>
        <v>2</v>
      </c>
    </row>
    <row r="396" spans="1:11" x14ac:dyDescent="0.3">
      <c r="A396" s="23" t="s">
        <v>437</v>
      </c>
      <c r="B396" s="6" t="s">
        <v>9</v>
      </c>
      <c r="C396" s="6">
        <v>61</v>
      </c>
      <c r="D396" s="13" t="s">
        <v>30</v>
      </c>
      <c r="E396" s="14">
        <v>45037</v>
      </c>
      <c r="F396" s="6">
        <v>38</v>
      </c>
      <c r="G396" s="24">
        <v>4.8</v>
      </c>
      <c r="H396">
        <f>IF(MONTH(Table13[[#This Row],[Date of Call]])&lt;6, YEAR(Table13[[#This Row],[Date of Call]]),YEAR(Table13[[#This Row],[Date of Call]])+1)</f>
        <v>2023</v>
      </c>
      <c r="I396" t="str">
        <f>TEXT(Table13[[#This Row],[Date of Call]],"dddd")</f>
        <v>Friday</v>
      </c>
      <c r="J3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396">
        <f>ROUND(Table13[[#This Row],[Satisfaction Rating]],0)</f>
        <v>5</v>
      </c>
    </row>
    <row r="397" spans="1:11" x14ac:dyDescent="0.3">
      <c r="A397" s="23" t="s">
        <v>438</v>
      </c>
      <c r="B397" s="6" t="s">
        <v>18</v>
      </c>
      <c r="C397" s="6">
        <v>36</v>
      </c>
      <c r="D397" s="13" t="s">
        <v>31</v>
      </c>
      <c r="E397" s="14">
        <v>45037</v>
      </c>
      <c r="F397" s="6">
        <v>81</v>
      </c>
      <c r="G397" s="24">
        <v>3.7</v>
      </c>
      <c r="H397">
        <f>IF(MONTH(Table13[[#This Row],[Date of Call]])&lt;6, YEAR(Table13[[#This Row],[Date of Call]]),YEAR(Table13[[#This Row],[Date of Call]])+1)</f>
        <v>2023</v>
      </c>
      <c r="I397" t="str">
        <f>TEXT(Table13[[#This Row],[Date of Call]],"dddd")</f>
        <v>Friday</v>
      </c>
      <c r="J3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397">
        <f>ROUND(Table13[[#This Row],[Satisfaction Rating]],0)</f>
        <v>4</v>
      </c>
    </row>
    <row r="398" spans="1:11" x14ac:dyDescent="0.3">
      <c r="A398" s="23" t="s">
        <v>439</v>
      </c>
      <c r="B398" s="6" t="s">
        <v>7</v>
      </c>
      <c r="C398" s="6">
        <v>123</v>
      </c>
      <c r="D398" s="13" t="s">
        <v>28</v>
      </c>
      <c r="E398" s="14">
        <v>45037</v>
      </c>
      <c r="F398" s="6">
        <v>120</v>
      </c>
      <c r="G398" s="24">
        <v>4.2</v>
      </c>
      <c r="H398">
        <f>IF(MONTH(Table13[[#This Row],[Date of Call]])&lt;6, YEAR(Table13[[#This Row],[Date of Call]]),YEAR(Table13[[#This Row],[Date of Call]])+1)</f>
        <v>2023</v>
      </c>
      <c r="I398" t="str">
        <f>TEXT(Table13[[#This Row],[Date of Call]],"dddd")</f>
        <v>Friday</v>
      </c>
      <c r="J3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398">
        <f>ROUND(Table13[[#This Row],[Satisfaction Rating]],0)</f>
        <v>4</v>
      </c>
    </row>
    <row r="399" spans="1:11" x14ac:dyDescent="0.3">
      <c r="A399" s="23" t="s">
        <v>440</v>
      </c>
      <c r="B399" s="6" t="s">
        <v>5</v>
      </c>
      <c r="C399" s="6">
        <v>24</v>
      </c>
      <c r="D399" s="13" t="s">
        <v>30</v>
      </c>
      <c r="E399" s="14">
        <v>45037</v>
      </c>
      <c r="F399" s="6">
        <v>74</v>
      </c>
      <c r="G399" s="24">
        <v>4.8</v>
      </c>
      <c r="H399">
        <f>IF(MONTH(Table13[[#This Row],[Date of Call]])&lt;6, YEAR(Table13[[#This Row],[Date of Call]]),YEAR(Table13[[#This Row],[Date of Call]])+1)</f>
        <v>2023</v>
      </c>
      <c r="I399" t="str">
        <f>TEXT(Table13[[#This Row],[Date of Call]],"dddd")</f>
        <v>Friday</v>
      </c>
      <c r="J3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399">
        <f>ROUND(Table13[[#This Row],[Satisfaction Rating]],0)</f>
        <v>5</v>
      </c>
    </row>
    <row r="400" spans="1:11" x14ac:dyDescent="0.3">
      <c r="A400" s="23" t="s">
        <v>441</v>
      </c>
      <c r="B400" s="6" t="s">
        <v>7</v>
      </c>
      <c r="C400" s="6">
        <v>43</v>
      </c>
      <c r="D400" s="13" t="s">
        <v>28</v>
      </c>
      <c r="E400" s="14">
        <v>45038</v>
      </c>
      <c r="F400" s="6">
        <v>128</v>
      </c>
      <c r="G400" s="24">
        <v>4.7</v>
      </c>
      <c r="H400">
        <f>IF(MONTH(Table13[[#This Row],[Date of Call]])&lt;6, YEAR(Table13[[#This Row],[Date of Call]]),YEAR(Table13[[#This Row],[Date of Call]])+1)</f>
        <v>2023</v>
      </c>
      <c r="I400" t="str">
        <f>TEXT(Table13[[#This Row],[Date of Call]],"dddd")</f>
        <v>Saturday</v>
      </c>
      <c r="J4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00">
        <f>ROUND(Table13[[#This Row],[Satisfaction Rating]],0)</f>
        <v>5</v>
      </c>
    </row>
    <row r="401" spans="1:11" x14ac:dyDescent="0.3">
      <c r="A401" s="23" t="s">
        <v>442</v>
      </c>
      <c r="B401" s="6" t="s">
        <v>17</v>
      </c>
      <c r="C401" s="6">
        <v>95</v>
      </c>
      <c r="D401" s="13" t="s">
        <v>29</v>
      </c>
      <c r="E401" s="14">
        <v>45038</v>
      </c>
      <c r="F401" s="6">
        <v>21</v>
      </c>
      <c r="G401" s="24">
        <v>3.9</v>
      </c>
      <c r="H401">
        <f>IF(MONTH(Table13[[#This Row],[Date of Call]])&lt;6, YEAR(Table13[[#This Row],[Date of Call]]),YEAR(Table13[[#This Row],[Date of Call]])+1)</f>
        <v>2023</v>
      </c>
      <c r="I401" t="str">
        <f>TEXT(Table13[[#This Row],[Date of Call]],"dddd")</f>
        <v>Saturday</v>
      </c>
      <c r="J4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01">
        <f>ROUND(Table13[[#This Row],[Satisfaction Rating]],0)</f>
        <v>4</v>
      </c>
    </row>
    <row r="402" spans="1:11" x14ac:dyDescent="0.3">
      <c r="A402" s="23" t="s">
        <v>443</v>
      </c>
      <c r="B402" s="6" t="s">
        <v>11</v>
      </c>
      <c r="C402" s="6">
        <v>53</v>
      </c>
      <c r="D402" s="13" t="s">
        <v>28</v>
      </c>
      <c r="E402" s="14">
        <v>45038</v>
      </c>
      <c r="F402" s="6">
        <v>110</v>
      </c>
      <c r="G402" s="24">
        <v>4.3</v>
      </c>
      <c r="H402">
        <f>IF(MONTH(Table13[[#This Row],[Date of Call]])&lt;6, YEAR(Table13[[#This Row],[Date of Call]]),YEAR(Table13[[#This Row],[Date of Call]])+1)</f>
        <v>2023</v>
      </c>
      <c r="I402" t="str">
        <f>TEXT(Table13[[#This Row],[Date of Call]],"dddd")</f>
        <v>Saturday</v>
      </c>
      <c r="J4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02">
        <f>ROUND(Table13[[#This Row],[Satisfaction Rating]],0)</f>
        <v>4</v>
      </c>
    </row>
    <row r="403" spans="1:11" x14ac:dyDescent="0.3">
      <c r="A403" s="23" t="s">
        <v>444</v>
      </c>
      <c r="B403" s="6" t="s">
        <v>7</v>
      </c>
      <c r="C403" s="6">
        <v>113</v>
      </c>
      <c r="D403" s="13" t="s">
        <v>28</v>
      </c>
      <c r="E403" s="14">
        <v>45038</v>
      </c>
      <c r="F403" s="6">
        <v>145</v>
      </c>
      <c r="G403" s="24">
        <v>4</v>
      </c>
      <c r="H403">
        <f>IF(MONTH(Table13[[#This Row],[Date of Call]])&lt;6, YEAR(Table13[[#This Row],[Date of Call]]),YEAR(Table13[[#This Row],[Date of Call]])+1)</f>
        <v>2023</v>
      </c>
      <c r="I403" t="str">
        <f>TEXT(Table13[[#This Row],[Date of Call]],"dddd")</f>
        <v>Saturday</v>
      </c>
      <c r="J4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03">
        <f>ROUND(Table13[[#This Row],[Satisfaction Rating]],0)</f>
        <v>4</v>
      </c>
    </row>
    <row r="404" spans="1:11" x14ac:dyDescent="0.3">
      <c r="A404" s="23" t="s">
        <v>445</v>
      </c>
      <c r="B404" s="6" t="s">
        <v>11</v>
      </c>
      <c r="C404" s="6">
        <v>89</v>
      </c>
      <c r="D404" s="13" t="s">
        <v>31</v>
      </c>
      <c r="E404" s="14">
        <v>45038</v>
      </c>
      <c r="F404" s="6">
        <v>129</v>
      </c>
      <c r="G404" s="24">
        <v>4</v>
      </c>
      <c r="H404">
        <f>IF(MONTH(Table13[[#This Row],[Date of Call]])&lt;6, YEAR(Table13[[#This Row],[Date of Call]]),YEAR(Table13[[#This Row],[Date of Call]])+1)</f>
        <v>2023</v>
      </c>
      <c r="I404" t="str">
        <f>TEXT(Table13[[#This Row],[Date of Call]],"dddd")</f>
        <v>Saturday</v>
      </c>
      <c r="J4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04">
        <f>ROUND(Table13[[#This Row],[Satisfaction Rating]],0)</f>
        <v>4</v>
      </c>
    </row>
    <row r="405" spans="1:11" x14ac:dyDescent="0.3">
      <c r="A405" s="23" t="s">
        <v>446</v>
      </c>
      <c r="B405" s="6" t="s">
        <v>13</v>
      </c>
      <c r="C405" s="6">
        <v>84</v>
      </c>
      <c r="D405" s="13" t="s">
        <v>32</v>
      </c>
      <c r="E405" s="14">
        <v>45038</v>
      </c>
      <c r="F405" s="6">
        <v>156</v>
      </c>
      <c r="G405" s="24">
        <v>3.2</v>
      </c>
      <c r="H405">
        <f>IF(MONTH(Table13[[#This Row],[Date of Call]])&lt;6, YEAR(Table13[[#This Row],[Date of Call]]),YEAR(Table13[[#This Row],[Date of Call]])+1)</f>
        <v>2023</v>
      </c>
      <c r="I405" t="str">
        <f>TEXT(Table13[[#This Row],[Date of Call]],"dddd")</f>
        <v>Saturday</v>
      </c>
      <c r="J4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05">
        <f>ROUND(Table13[[#This Row],[Satisfaction Rating]],0)</f>
        <v>3</v>
      </c>
    </row>
    <row r="406" spans="1:11" x14ac:dyDescent="0.3">
      <c r="A406" s="23" t="s">
        <v>447</v>
      </c>
      <c r="B406" s="6" t="s">
        <v>5</v>
      </c>
      <c r="C406" s="6">
        <v>130</v>
      </c>
      <c r="D406" s="13" t="s">
        <v>28</v>
      </c>
      <c r="E406" s="14">
        <v>45039</v>
      </c>
      <c r="F406" s="6">
        <v>120</v>
      </c>
      <c r="G406" s="24">
        <v>3.8</v>
      </c>
      <c r="H406">
        <f>IF(MONTH(Table13[[#This Row],[Date of Call]])&lt;6, YEAR(Table13[[#This Row],[Date of Call]]),YEAR(Table13[[#This Row],[Date of Call]])+1)</f>
        <v>2023</v>
      </c>
      <c r="I406" t="str">
        <f>TEXT(Table13[[#This Row],[Date of Call]],"dddd")</f>
        <v>Sunday</v>
      </c>
      <c r="J4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06">
        <f>ROUND(Table13[[#This Row],[Satisfaction Rating]],0)</f>
        <v>4</v>
      </c>
    </row>
    <row r="407" spans="1:11" x14ac:dyDescent="0.3">
      <c r="A407" s="23" t="s">
        <v>448</v>
      </c>
      <c r="B407" s="6" t="s">
        <v>17</v>
      </c>
      <c r="C407" s="6">
        <v>163</v>
      </c>
      <c r="D407" s="13" t="s">
        <v>31</v>
      </c>
      <c r="E407" s="14">
        <v>45039</v>
      </c>
      <c r="F407" s="6">
        <v>62</v>
      </c>
      <c r="G407" s="24">
        <v>3.4</v>
      </c>
      <c r="H407">
        <f>IF(MONTH(Table13[[#This Row],[Date of Call]])&lt;6, YEAR(Table13[[#This Row],[Date of Call]]),YEAR(Table13[[#This Row],[Date of Call]])+1)</f>
        <v>2023</v>
      </c>
      <c r="I407" t="str">
        <f>TEXT(Table13[[#This Row],[Date of Call]],"dddd")</f>
        <v>Sunday</v>
      </c>
      <c r="J4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07">
        <f>ROUND(Table13[[#This Row],[Satisfaction Rating]],0)</f>
        <v>3</v>
      </c>
    </row>
    <row r="408" spans="1:11" x14ac:dyDescent="0.3">
      <c r="A408" s="23" t="s">
        <v>449</v>
      </c>
      <c r="B408" s="6" t="s">
        <v>12</v>
      </c>
      <c r="C408" s="6">
        <v>127</v>
      </c>
      <c r="D408" s="13" t="s">
        <v>28</v>
      </c>
      <c r="E408" s="14">
        <v>45039</v>
      </c>
      <c r="F408" s="6">
        <v>160</v>
      </c>
      <c r="G408" s="24">
        <v>3.2</v>
      </c>
      <c r="H408">
        <f>IF(MONTH(Table13[[#This Row],[Date of Call]])&lt;6, YEAR(Table13[[#This Row],[Date of Call]]),YEAR(Table13[[#This Row],[Date of Call]])+1)</f>
        <v>2023</v>
      </c>
      <c r="I408" t="str">
        <f>TEXT(Table13[[#This Row],[Date of Call]],"dddd")</f>
        <v>Sunday</v>
      </c>
      <c r="J4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08">
        <f>ROUND(Table13[[#This Row],[Satisfaction Rating]],0)</f>
        <v>3</v>
      </c>
    </row>
    <row r="409" spans="1:11" x14ac:dyDescent="0.3">
      <c r="A409" s="23" t="s">
        <v>450</v>
      </c>
      <c r="B409" s="6" t="s">
        <v>7</v>
      </c>
      <c r="C409" s="6">
        <v>50</v>
      </c>
      <c r="D409" s="13" t="s">
        <v>28</v>
      </c>
      <c r="E409" s="14">
        <v>45039</v>
      </c>
      <c r="F409" s="6">
        <v>56</v>
      </c>
      <c r="G409" s="24">
        <v>4.7</v>
      </c>
      <c r="H409">
        <f>IF(MONTH(Table13[[#This Row],[Date of Call]])&lt;6, YEAR(Table13[[#This Row],[Date of Call]]),YEAR(Table13[[#This Row],[Date of Call]])+1)</f>
        <v>2023</v>
      </c>
      <c r="I409" t="str">
        <f>TEXT(Table13[[#This Row],[Date of Call]],"dddd")</f>
        <v>Sunday</v>
      </c>
      <c r="J4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09">
        <f>ROUND(Table13[[#This Row],[Satisfaction Rating]],0)</f>
        <v>5</v>
      </c>
    </row>
    <row r="410" spans="1:11" x14ac:dyDescent="0.3">
      <c r="A410" s="23" t="s">
        <v>451</v>
      </c>
      <c r="B410" s="6" t="s">
        <v>10</v>
      </c>
      <c r="C410" s="6">
        <v>88</v>
      </c>
      <c r="D410" s="13" t="s">
        <v>30</v>
      </c>
      <c r="E410" s="14">
        <v>45039</v>
      </c>
      <c r="F410" s="6">
        <v>72</v>
      </c>
      <c r="G410" s="24">
        <v>4</v>
      </c>
      <c r="H410">
        <f>IF(MONTH(Table13[[#This Row],[Date of Call]])&lt;6, YEAR(Table13[[#This Row],[Date of Call]]),YEAR(Table13[[#This Row],[Date of Call]])+1)</f>
        <v>2023</v>
      </c>
      <c r="I410" t="str">
        <f>TEXT(Table13[[#This Row],[Date of Call]],"dddd")</f>
        <v>Sunday</v>
      </c>
      <c r="J4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10">
        <f>ROUND(Table13[[#This Row],[Satisfaction Rating]],0)</f>
        <v>4</v>
      </c>
    </row>
    <row r="411" spans="1:11" x14ac:dyDescent="0.3">
      <c r="A411" s="23" t="s">
        <v>452</v>
      </c>
      <c r="B411" s="6" t="s">
        <v>7</v>
      </c>
      <c r="C411" s="6">
        <v>139</v>
      </c>
      <c r="D411" s="13" t="s">
        <v>29</v>
      </c>
      <c r="E411" s="14">
        <v>45040</v>
      </c>
      <c r="F411" s="6">
        <v>81</v>
      </c>
      <c r="G411" s="24">
        <v>4.8</v>
      </c>
      <c r="H411">
        <f>IF(MONTH(Table13[[#This Row],[Date of Call]])&lt;6, YEAR(Table13[[#This Row],[Date of Call]]),YEAR(Table13[[#This Row],[Date of Call]])+1)</f>
        <v>2023</v>
      </c>
      <c r="I411" t="str">
        <f>TEXT(Table13[[#This Row],[Date of Call]],"dddd")</f>
        <v>Monday</v>
      </c>
      <c r="J4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11">
        <f>ROUND(Table13[[#This Row],[Satisfaction Rating]],0)</f>
        <v>5</v>
      </c>
    </row>
    <row r="412" spans="1:11" x14ac:dyDescent="0.3">
      <c r="A412" s="23" t="s">
        <v>453</v>
      </c>
      <c r="B412" s="6" t="s">
        <v>17</v>
      </c>
      <c r="C412" s="6">
        <v>111</v>
      </c>
      <c r="D412" s="13" t="s">
        <v>28</v>
      </c>
      <c r="E412" s="14">
        <v>45040</v>
      </c>
      <c r="F412" s="6">
        <v>144</v>
      </c>
      <c r="G412" s="24">
        <v>3.9</v>
      </c>
      <c r="H412">
        <f>IF(MONTH(Table13[[#This Row],[Date of Call]])&lt;6, YEAR(Table13[[#This Row],[Date of Call]]),YEAR(Table13[[#This Row],[Date of Call]])+1)</f>
        <v>2023</v>
      </c>
      <c r="I412" t="str">
        <f>TEXT(Table13[[#This Row],[Date of Call]],"dddd")</f>
        <v>Monday</v>
      </c>
      <c r="J4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12">
        <f>ROUND(Table13[[#This Row],[Satisfaction Rating]],0)</f>
        <v>4</v>
      </c>
    </row>
    <row r="413" spans="1:11" x14ac:dyDescent="0.3">
      <c r="A413" s="23" t="s">
        <v>454</v>
      </c>
      <c r="B413" s="6" t="s">
        <v>8</v>
      </c>
      <c r="C413" s="6">
        <v>115</v>
      </c>
      <c r="D413" s="13" t="s">
        <v>29</v>
      </c>
      <c r="E413" s="14">
        <v>45040</v>
      </c>
      <c r="F413" s="6">
        <v>111</v>
      </c>
      <c r="G413" s="24">
        <v>4.3</v>
      </c>
      <c r="H413">
        <f>IF(MONTH(Table13[[#This Row],[Date of Call]])&lt;6, YEAR(Table13[[#This Row],[Date of Call]]),YEAR(Table13[[#This Row],[Date of Call]])+1)</f>
        <v>2023</v>
      </c>
      <c r="I413" t="str">
        <f>TEXT(Table13[[#This Row],[Date of Call]],"dddd")</f>
        <v>Monday</v>
      </c>
      <c r="J4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13">
        <f>ROUND(Table13[[#This Row],[Satisfaction Rating]],0)</f>
        <v>4</v>
      </c>
    </row>
    <row r="414" spans="1:11" x14ac:dyDescent="0.3">
      <c r="A414" s="23" t="s">
        <v>455</v>
      </c>
      <c r="B414" s="6" t="s">
        <v>11</v>
      </c>
      <c r="C414" s="6">
        <v>26</v>
      </c>
      <c r="D414" s="13" t="s">
        <v>31</v>
      </c>
      <c r="E414" s="14">
        <v>45040</v>
      </c>
      <c r="F414" s="6">
        <v>43</v>
      </c>
      <c r="G414" s="24">
        <v>4.2</v>
      </c>
      <c r="H414">
        <f>IF(MONTH(Table13[[#This Row],[Date of Call]])&lt;6, YEAR(Table13[[#This Row],[Date of Call]]),YEAR(Table13[[#This Row],[Date of Call]])+1)</f>
        <v>2023</v>
      </c>
      <c r="I414" t="str">
        <f>TEXT(Table13[[#This Row],[Date of Call]],"dddd")</f>
        <v>Monday</v>
      </c>
      <c r="J4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14">
        <f>ROUND(Table13[[#This Row],[Satisfaction Rating]],0)</f>
        <v>4</v>
      </c>
    </row>
    <row r="415" spans="1:11" x14ac:dyDescent="0.3">
      <c r="A415" s="23" t="s">
        <v>456</v>
      </c>
      <c r="B415" s="6" t="s">
        <v>13</v>
      </c>
      <c r="C415" s="6">
        <v>131</v>
      </c>
      <c r="D415" s="13" t="s">
        <v>30</v>
      </c>
      <c r="E415" s="14">
        <v>45040</v>
      </c>
      <c r="F415" s="6">
        <v>41</v>
      </c>
      <c r="G415" s="24">
        <v>4.9000000000000004</v>
      </c>
      <c r="H415">
        <f>IF(MONTH(Table13[[#This Row],[Date of Call]])&lt;6, YEAR(Table13[[#This Row],[Date of Call]]),YEAR(Table13[[#This Row],[Date of Call]])+1)</f>
        <v>2023</v>
      </c>
      <c r="I415" t="str">
        <f>TEXT(Table13[[#This Row],[Date of Call]],"dddd")</f>
        <v>Monday</v>
      </c>
      <c r="J4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15">
        <f>ROUND(Table13[[#This Row],[Satisfaction Rating]],0)</f>
        <v>5</v>
      </c>
    </row>
    <row r="416" spans="1:11" x14ac:dyDescent="0.3">
      <c r="A416" s="23" t="s">
        <v>457</v>
      </c>
      <c r="B416" s="6" t="s">
        <v>8</v>
      </c>
      <c r="C416" s="6">
        <v>27</v>
      </c>
      <c r="D416" s="13" t="s">
        <v>30</v>
      </c>
      <c r="E416" s="14">
        <v>45040</v>
      </c>
      <c r="F416" s="6">
        <v>74</v>
      </c>
      <c r="G416" s="24">
        <v>4</v>
      </c>
      <c r="H416">
        <f>IF(MONTH(Table13[[#This Row],[Date of Call]])&lt;6, YEAR(Table13[[#This Row],[Date of Call]]),YEAR(Table13[[#This Row],[Date of Call]])+1)</f>
        <v>2023</v>
      </c>
      <c r="I416" t="str">
        <f>TEXT(Table13[[#This Row],[Date of Call]],"dddd")</f>
        <v>Monday</v>
      </c>
      <c r="J4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16">
        <f>ROUND(Table13[[#This Row],[Satisfaction Rating]],0)</f>
        <v>4</v>
      </c>
    </row>
    <row r="417" spans="1:11" x14ac:dyDescent="0.3">
      <c r="A417" s="23" t="s">
        <v>458</v>
      </c>
      <c r="B417" s="6" t="s">
        <v>15</v>
      </c>
      <c r="C417" s="6">
        <v>75</v>
      </c>
      <c r="D417" s="13" t="s">
        <v>28</v>
      </c>
      <c r="E417" s="14">
        <v>45040</v>
      </c>
      <c r="F417" s="6">
        <v>43</v>
      </c>
      <c r="G417" s="24">
        <v>4.9000000000000004</v>
      </c>
      <c r="H417">
        <f>IF(MONTH(Table13[[#This Row],[Date of Call]])&lt;6, YEAR(Table13[[#This Row],[Date of Call]]),YEAR(Table13[[#This Row],[Date of Call]])+1)</f>
        <v>2023</v>
      </c>
      <c r="I417" t="str">
        <f>TEXT(Table13[[#This Row],[Date of Call]],"dddd")</f>
        <v>Monday</v>
      </c>
      <c r="J4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17">
        <f>ROUND(Table13[[#This Row],[Satisfaction Rating]],0)</f>
        <v>5</v>
      </c>
    </row>
    <row r="418" spans="1:11" x14ac:dyDescent="0.3">
      <c r="A418" s="23" t="s">
        <v>459</v>
      </c>
      <c r="B418" s="6" t="s">
        <v>9</v>
      </c>
      <c r="C418" s="6">
        <v>123</v>
      </c>
      <c r="D418" s="13" t="s">
        <v>30</v>
      </c>
      <c r="E418" s="14">
        <v>45040</v>
      </c>
      <c r="F418" s="6">
        <v>128</v>
      </c>
      <c r="G418" s="24">
        <v>3.6</v>
      </c>
      <c r="H418">
        <f>IF(MONTH(Table13[[#This Row],[Date of Call]])&lt;6, YEAR(Table13[[#This Row],[Date of Call]]),YEAR(Table13[[#This Row],[Date of Call]])+1)</f>
        <v>2023</v>
      </c>
      <c r="I418" t="str">
        <f>TEXT(Table13[[#This Row],[Date of Call]],"dddd")</f>
        <v>Monday</v>
      </c>
      <c r="J4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18">
        <f>ROUND(Table13[[#This Row],[Satisfaction Rating]],0)</f>
        <v>4</v>
      </c>
    </row>
    <row r="419" spans="1:11" x14ac:dyDescent="0.3">
      <c r="A419" s="23" t="s">
        <v>460</v>
      </c>
      <c r="B419" s="6" t="s">
        <v>6</v>
      </c>
      <c r="C419" s="6">
        <v>129</v>
      </c>
      <c r="D419" s="13" t="s">
        <v>30</v>
      </c>
      <c r="E419" s="14">
        <v>45041</v>
      </c>
      <c r="F419" s="6">
        <v>144</v>
      </c>
      <c r="G419" s="24">
        <v>4.0999999999999996</v>
      </c>
      <c r="H419">
        <f>IF(MONTH(Table13[[#This Row],[Date of Call]])&lt;6, YEAR(Table13[[#This Row],[Date of Call]]),YEAR(Table13[[#This Row],[Date of Call]])+1)</f>
        <v>2023</v>
      </c>
      <c r="I419" t="str">
        <f>TEXT(Table13[[#This Row],[Date of Call]],"dddd")</f>
        <v>Tuesday</v>
      </c>
      <c r="J4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19">
        <f>ROUND(Table13[[#This Row],[Satisfaction Rating]],0)</f>
        <v>4</v>
      </c>
    </row>
    <row r="420" spans="1:11" x14ac:dyDescent="0.3">
      <c r="A420" s="23" t="s">
        <v>461</v>
      </c>
      <c r="B420" s="6" t="s">
        <v>15</v>
      </c>
      <c r="C420" s="6">
        <v>124</v>
      </c>
      <c r="D420" s="13" t="s">
        <v>29</v>
      </c>
      <c r="E420" s="14">
        <v>45041</v>
      </c>
      <c r="F420" s="6">
        <v>132</v>
      </c>
      <c r="G420" s="24">
        <v>4.9000000000000004</v>
      </c>
      <c r="H420">
        <f>IF(MONTH(Table13[[#This Row],[Date of Call]])&lt;6, YEAR(Table13[[#This Row],[Date of Call]]),YEAR(Table13[[#This Row],[Date of Call]])+1)</f>
        <v>2023</v>
      </c>
      <c r="I420" t="str">
        <f>TEXT(Table13[[#This Row],[Date of Call]],"dddd")</f>
        <v>Tuesday</v>
      </c>
      <c r="J4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20">
        <f>ROUND(Table13[[#This Row],[Satisfaction Rating]],0)</f>
        <v>5</v>
      </c>
    </row>
    <row r="421" spans="1:11" x14ac:dyDescent="0.3">
      <c r="A421" s="23" t="s">
        <v>462</v>
      </c>
      <c r="B421" s="6" t="s">
        <v>8</v>
      </c>
      <c r="C421" s="6">
        <v>108</v>
      </c>
      <c r="D421" s="13" t="s">
        <v>29</v>
      </c>
      <c r="E421" s="14">
        <v>45041</v>
      </c>
      <c r="F421" s="6">
        <v>180</v>
      </c>
      <c r="G421" s="24">
        <v>3.9</v>
      </c>
      <c r="H421">
        <f>IF(MONTH(Table13[[#This Row],[Date of Call]])&lt;6, YEAR(Table13[[#This Row],[Date of Call]]),YEAR(Table13[[#This Row],[Date of Call]])+1)</f>
        <v>2023</v>
      </c>
      <c r="I421" t="str">
        <f>TEXT(Table13[[#This Row],[Date of Call]],"dddd")</f>
        <v>Tuesday</v>
      </c>
      <c r="J4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21">
        <f>ROUND(Table13[[#This Row],[Satisfaction Rating]],0)</f>
        <v>4</v>
      </c>
    </row>
    <row r="422" spans="1:11" x14ac:dyDescent="0.3">
      <c r="A422" s="23" t="s">
        <v>463</v>
      </c>
      <c r="B422" s="6" t="s">
        <v>14</v>
      </c>
      <c r="C422" s="6">
        <v>15</v>
      </c>
      <c r="D422" s="13" t="s">
        <v>29</v>
      </c>
      <c r="E422" s="14">
        <v>45041</v>
      </c>
      <c r="F422" s="6">
        <v>31</v>
      </c>
      <c r="G422" s="24">
        <v>4.0999999999999996</v>
      </c>
      <c r="H422">
        <f>IF(MONTH(Table13[[#This Row],[Date of Call]])&lt;6, YEAR(Table13[[#This Row],[Date of Call]]),YEAR(Table13[[#This Row],[Date of Call]])+1)</f>
        <v>2023</v>
      </c>
      <c r="I422" t="str">
        <f>TEXT(Table13[[#This Row],[Date of Call]],"dddd")</f>
        <v>Tuesday</v>
      </c>
      <c r="J4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22">
        <f>ROUND(Table13[[#This Row],[Satisfaction Rating]],0)</f>
        <v>4</v>
      </c>
    </row>
    <row r="423" spans="1:11" x14ac:dyDescent="0.3">
      <c r="A423" s="23" t="s">
        <v>464</v>
      </c>
      <c r="B423" s="6" t="s">
        <v>8</v>
      </c>
      <c r="C423" s="6">
        <v>66</v>
      </c>
      <c r="D423" s="13" t="s">
        <v>29</v>
      </c>
      <c r="E423" s="14">
        <v>45041</v>
      </c>
      <c r="F423" s="6">
        <v>102</v>
      </c>
      <c r="G423" s="24">
        <v>3.8</v>
      </c>
      <c r="H423">
        <f>IF(MONTH(Table13[[#This Row],[Date of Call]])&lt;6, YEAR(Table13[[#This Row],[Date of Call]]),YEAR(Table13[[#This Row],[Date of Call]])+1)</f>
        <v>2023</v>
      </c>
      <c r="I423" t="str">
        <f>TEXT(Table13[[#This Row],[Date of Call]],"dddd")</f>
        <v>Tuesday</v>
      </c>
      <c r="J4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23">
        <f>ROUND(Table13[[#This Row],[Satisfaction Rating]],0)</f>
        <v>4</v>
      </c>
    </row>
    <row r="424" spans="1:11" x14ac:dyDescent="0.3">
      <c r="A424" s="23" t="s">
        <v>465</v>
      </c>
      <c r="B424" s="6" t="s">
        <v>10</v>
      </c>
      <c r="C424" s="6">
        <v>126</v>
      </c>
      <c r="D424" s="13" t="s">
        <v>28</v>
      </c>
      <c r="E424" s="14">
        <v>45042</v>
      </c>
      <c r="F424" s="6">
        <v>175</v>
      </c>
      <c r="G424" s="24">
        <v>4.8</v>
      </c>
      <c r="H424">
        <f>IF(MONTH(Table13[[#This Row],[Date of Call]])&lt;6, YEAR(Table13[[#This Row],[Date of Call]]),YEAR(Table13[[#This Row],[Date of Call]])+1)</f>
        <v>2023</v>
      </c>
      <c r="I424" t="str">
        <f>TEXT(Table13[[#This Row],[Date of Call]],"dddd")</f>
        <v>Wednesday</v>
      </c>
      <c r="J4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24">
        <f>ROUND(Table13[[#This Row],[Satisfaction Rating]],0)</f>
        <v>5</v>
      </c>
    </row>
    <row r="425" spans="1:11" x14ac:dyDescent="0.3">
      <c r="A425" s="23" t="s">
        <v>466</v>
      </c>
      <c r="B425" s="6" t="s">
        <v>15</v>
      </c>
      <c r="C425" s="6">
        <v>26</v>
      </c>
      <c r="D425" s="13" t="s">
        <v>32</v>
      </c>
      <c r="E425" s="14">
        <v>45042</v>
      </c>
      <c r="F425" s="6">
        <v>87</v>
      </c>
      <c r="G425" s="24">
        <v>4.7</v>
      </c>
      <c r="H425">
        <f>IF(MONTH(Table13[[#This Row],[Date of Call]])&lt;6, YEAR(Table13[[#This Row],[Date of Call]]),YEAR(Table13[[#This Row],[Date of Call]])+1)</f>
        <v>2023</v>
      </c>
      <c r="I425" t="str">
        <f>TEXT(Table13[[#This Row],[Date of Call]],"dddd")</f>
        <v>Wednesday</v>
      </c>
      <c r="J4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25">
        <f>ROUND(Table13[[#This Row],[Satisfaction Rating]],0)</f>
        <v>5</v>
      </c>
    </row>
    <row r="426" spans="1:11" x14ac:dyDescent="0.3">
      <c r="A426" s="23" t="s">
        <v>467</v>
      </c>
      <c r="B426" s="6" t="s">
        <v>5</v>
      </c>
      <c r="C426" s="6">
        <v>105</v>
      </c>
      <c r="D426" s="13" t="s">
        <v>28</v>
      </c>
      <c r="E426" s="14">
        <v>45042</v>
      </c>
      <c r="F426" s="6">
        <v>66</v>
      </c>
      <c r="G426" s="24">
        <v>4.2</v>
      </c>
      <c r="H426">
        <f>IF(MONTH(Table13[[#This Row],[Date of Call]])&lt;6, YEAR(Table13[[#This Row],[Date of Call]]),YEAR(Table13[[#This Row],[Date of Call]])+1)</f>
        <v>2023</v>
      </c>
      <c r="I426" t="str">
        <f>TEXT(Table13[[#This Row],[Date of Call]],"dddd")</f>
        <v>Wednesday</v>
      </c>
      <c r="J4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26">
        <f>ROUND(Table13[[#This Row],[Satisfaction Rating]],0)</f>
        <v>4</v>
      </c>
    </row>
    <row r="427" spans="1:11" x14ac:dyDescent="0.3">
      <c r="A427" s="23" t="s">
        <v>468</v>
      </c>
      <c r="B427" s="6" t="s">
        <v>5</v>
      </c>
      <c r="C427" s="6">
        <v>31</v>
      </c>
      <c r="D427" s="13" t="s">
        <v>28</v>
      </c>
      <c r="E427" s="14">
        <v>45042</v>
      </c>
      <c r="F427" s="6">
        <v>25</v>
      </c>
      <c r="G427" s="24">
        <v>3.2</v>
      </c>
      <c r="H427">
        <f>IF(MONTH(Table13[[#This Row],[Date of Call]])&lt;6, YEAR(Table13[[#This Row],[Date of Call]]),YEAR(Table13[[#This Row],[Date of Call]])+1)</f>
        <v>2023</v>
      </c>
      <c r="I427" t="str">
        <f>TEXT(Table13[[#This Row],[Date of Call]],"dddd")</f>
        <v>Wednesday</v>
      </c>
      <c r="J4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27">
        <f>ROUND(Table13[[#This Row],[Satisfaction Rating]],0)</f>
        <v>3</v>
      </c>
    </row>
    <row r="428" spans="1:11" x14ac:dyDescent="0.3">
      <c r="A428" s="23" t="s">
        <v>469</v>
      </c>
      <c r="B428" s="6" t="s">
        <v>8</v>
      </c>
      <c r="C428" s="6">
        <v>109</v>
      </c>
      <c r="D428" s="13" t="s">
        <v>29</v>
      </c>
      <c r="E428" s="14">
        <v>45042</v>
      </c>
      <c r="F428" s="6">
        <v>126</v>
      </c>
      <c r="G428" s="24">
        <v>3.4</v>
      </c>
      <c r="H428">
        <f>IF(MONTH(Table13[[#This Row],[Date of Call]])&lt;6, YEAR(Table13[[#This Row],[Date of Call]]),YEAR(Table13[[#This Row],[Date of Call]])+1)</f>
        <v>2023</v>
      </c>
      <c r="I428" t="str">
        <f>TEXT(Table13[[#This Row],[Date of Call]],"dddd")</f>
        <v>Wednesday</v>
      </c>
      <c r="J4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28">
        <f>ROUND(Table13[[#This Row],[Satisfaction Rating]],0)</f>
        <v>3</v>
      </c>
    </row>
    <row r="429" spans="1:11" x14ac:dyDescent="0.3">
      <c r="A429" s="23" t="s">
        <v>470</v>
      </c>
      <c r="B429" s="6" t="s">
        <v>6</v>
      </c>
      <c r="C429" s="6">
        <v>113</v>
      </c>
      <c r="D429" s="13" t="s">
        <v>31</v>
      </c>
      <c r="E429" s="14">
        <v>45043</v>
      </c>
      <c r="F429" s="6">
        <v>42</v>
      </c>
      <c r="G429" s="24">
        <v>4.5999999999999996</v>
      </c>
      <c r="H429">
        <f>IF(MONTH(Table13[[#This Row],[Date of Call]])&lt;6, YEAR(Table13[[#This Row],[Date of Call]]),YEAR(Table13[[#This Row],[Date of Call]])+1)</f>
        <v>2023</v>
      </c>
      <c r="I429" t="str">
        <f>TEXT(Table13[[#This Row],[Date of Call]],"dddd")</f>
        <v>Thursday</v>
      </c>
      <c r="J4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29">
        <f>ROUND(Table13[[#This Row],[Satisfaction Rating]],0)</f>
        <v>5</v>
      </c>
    </row>
    <row r="430" spans="1:11" x14ac:dyDescent="0.3">
      <c r="A430" s="23" t="s">
        <v>471</v>
      </c>
      <c r="B430" s="6" t="s">
        <v>10</v>
      </c>
      <c r="C430" s="6">
        <v>101</v>
      </c>
      <c r="D430" s="13" t="s">
        <v>32</v>
      </c>
      <c r="E430" s="14">
        <v>45043</v>
      </c>
      <c r="F430" s="6">
        <v>225</v>
      </c>
      <c r="G430" s="24">
        <v>1.9</v>
      </c>
      <c r="H430">
        <f>IF(MONTH(Table13[[#This Row],[Date of Call]])&lt;6, YEAR(Table13[[#This Row],[Date of Call]]),YEAR(Table13[[#This Row],[Date of Call]])+1)</f>
        <v>2023</v>
      </c>
      <c r="I430" t="str">
        <f>TEXT(Table13[[#This Row],[Date of Call]],"dddd")</f>
        <v>Thursday</v>
      </c>
      <c r="J4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30">
        <f>ROUND(Table13[[#This Row],[Satisfaction Rating]],0)</f>
        <v>2</v>
      </c>
    </row>
    <row r="431" spans="1:11" x14ac:dyDescent="0.3">
      <c r="A431" s="23" t="s">
        <v>472</v>
      </c>
      <c r="B431" s="6" t="s">
        <v>17</v>
      </c>
      <c r="C431" s="6">
        <v>156</v>
      </c>
      <c r="D431" s="13" t="s">
        <v>32</v>
      </c>
      <c r="E431" s="14">
        <v>45043</v>
      </c>
      <c r="F431" s="6">
        <v>42</v>
      </c>
      <c r="G431" s="24">
        <v>3.3</v>
      </c>
      <c r="H431">
        <f>IF(MONTH(Table13[[#This Row],[Date of Call]])&lt;6, YEAR(Table13[[#This Row],[Date of Call]]),YEAR(Table13[[#This Row],[Date of Call]])+1)</f>
        <v>2023</v>
      </c>
      <c r="I431" t="str">
        <f>TEXT(Table13[[#This Row],[Date of Call]],"dddd")</f>
        <v>Thursday</v>
      </c>
      <c r="J4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31">
        <f>ROUND(Table13[[#This Row],[Satisfaction Rating]],0)</f>
        <v>3</v>
      </c>
    </row>
    <row r="432" spans="1:11" x14ac:dyDescent="0.3">
      <c r="A432" s="23" t="s">
        <v>473</v>
      </c>
      <c r="B432" s="6" t="s">
        <v>8</v>
      </c>
      <c r="C432" s="6">
        <v>145</v>
      </c>
      <c r="D432" s="13" t="s">
        <v>31</v>
      </c>
      <c r="E432" s="14">
        <v>45044</v>
      </c>
      <c r="F432" s="6">
        <v>110</v>
      </c>
      <c r="G432" s="24">
        <v>3.1</v>
      </c>
      <c r="H432">
        <f>IF(MONTH(Table13[[#This Row],[Date of Call]])&lt;6, YEAR(Table13[[#This Row],[Date of Call]]),YEAR(Table13[[#This Row],[Date of Call]])+1)</f>
        <v>2023</v>
      </c>
      <c r="I432" t="str">
        <f>TEXT(Table13[[#This Row],[Date of Call]],"dddd")</f>
        <v>Friday</v>
      </c>
      <c r="J4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32">
        <f>ROUND(Table13[[#This Row],[Satisfaction Rating]],0)</f>
        <v>3</v>
      </c>
    </row>
    <row r="433" spans="1:11" x14ac:dyDescent="0.3">
      <c r="A433" s="23" t="s">
        <v>474</v>
      </c>
      <c r="B433" s="6" t="s">
        <v>9</v>
      </c>
      <c r="C433" s="6">
        <v>36</v>
      </c>
      <c r="D433" s="13" t="s">
        <v>29</v>
      </c>
      <c r="E433" s="14">
        <v>45044</v>
      </c>
      <c r="F433" s="6">
        <v>225</v>
      </c>
      <c r="G433" s="24">
        <v>4.8</v>
      </c>
      <c r="H433">
        <f>IF(MONTH(Table13[[#This Row],[Date of Call]])&lt;6, YEAR(Table13[[#This Row],[Date of Call]]),YEAR(Table13[[#This Row],[Date of Call]])+1)</f>
        <v>2023</v>
      </c>
      <c r="I433" t="str">
        <f>TEXT(Table13[[#This Row],[Date of Call]],"dddd")</f>
        <v>Friday</v>
      </c>
      <c r="J4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33">
        <f>ROUND(Table13[[#This Row],[Satisfaction Rating]],0)</f>
        <v>5</v>
      </c>
    </row>
    <row r="434" spans="1:11" x14ac:dyDescent="0.3">
      <c r="A434" s="23" t="s">
        <v>475</v>
      </c>
      <c r="B434" s="6" t="s">
        <v>5</v>
      </c>
      <c r="C434" s="6">
        <v>135</v>
      </c>
      <c r="D434" s="13" t="s">
        <v>30</v>
      </c>
      <c r="E434" s="14">
        <v>45045</v>
      </c>
      <c r="F434" s="6">
        <v>125</v>
      </c>
      <c r="G434" s="24">
        <v>3.3</v>
      </c>
      <c r="H434">
        <f>IF(MONTH(Table13[[#This Row],[Date of Call]])&lt;6, YEAR(Table13[[#This Row],[Date of Call]]),YEAR(Table13[[#This Row],[Date of Call]])+1)</f>
        <v>2023</v>
      </c>
      <c r="I434" t="str">
        <f>TEXT(Table13[[#This Row],[Date of Call]],"dddd")</f>
        <v>Saturday</v>
      </c>
      <c r="J4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34">
        <f>ROUND(Table13[[#This Row],[Satisfaction Rating]],0)</f>
        <v>3</v>
      </c>
    </row>
    <row r="435" spans="1:11" x14ac:dyDescent="0.3">
      <c r="A435" s="23" t="s">
        <v>476</v>
      </c>
      <c r="B435" s="6" t="s">
        <v>10</v>
      </c>
      <c r="C435" s="6">
        <v>81</v>
      </c>
      <c r="D435" s="13" t="s">
        <v>29</v>
      </c>
      <c r="E435" s="14">
        <v>45045</v>
      </c>
      <c r="F435" s="6">
        <v>78</v>
      </c>
      <c r="G435" s="24">
        <v>2.9</v>
      </c>
      <c r="H435">
        <f>IF(MONTH(Table13[[#This Row],[Date of Call]])&lt;6, YEAR(Table13[[#This Row],[Date of Call]]),YEAR(Table13[[#This Row],[Date of Call]])+1)</f>
        <v>2023</v>
      </c>
      <c r="I435" t="str">
        <f>TEXT(Table13[[#This Row],[Date of Call]],"dddd")</f>
        <v>Saturday</v>
      </c>
      <c r="J4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35">
        <f>ROUND(Table13[[#This Row],[Satisfaction Rating]],0)</f>
        <v>3</v>
      </c>
    </row>
    <row r="436" spans="1:11" x14ac:dyDescent="0.3">
      <c r="A436" s="23" t="s">
        <v>477</v>
      </c>
      <c r="B436" s="6" t="s">
        <v>10</v>
      </c>
      <c r="C436" s="6">
        <v>81</v>
      </c>
      <c r="D436" s="13" t="s">
        <v>31</v>
      </c>
      <c r="E436" s="14">
        <v>45045</v>
      </c>
      <c r="F436" s="6">
        <v>40</v>
      </c>
      <c r="G436" s="24">
        <v>2.4</v>
      </c>
      <c r="H436">
        <f>IF(MONTH(Table13[[#This Row],[Date of Call]])&lt;6, YEAR(Table13[[#This Row],[Date of Call]]),YEAR(Table13[[#This Row],[Date of Call]])+1)</f>
        <v>2023</v>
      </c>
      <c r="I436" t="str">
        <f>TEXT(Table13[[#This Row],[Date of Call]],"dddd")</f>
        <v>Saturday</v>
      </c>
      <c r="J4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36">
        <f>ROUND(Table13[[#This Row],[Satisfaction Rating]],0)</f>
        <v>2</v>
      </c>
    </row>
    <row r="437" spans="1:11" x14ac:dyDescent="0.3">
      <c r="A437" s="23" t="s">
        <v>478</v>
      </c>
      <c r="B437" s="6" t="s">
        <v>12</v>
      </c>
      <c r="C437" s="6">
        <v>93</v>
      </c>
      <c r="D437" s="13" t="s">
        <v>28</v>
      </c>
      <c r="E437" s="14">
        <v>45045</v>
      </c>
      <c r="F437" s="6">
        <v>150</v>
      </c>
      <c r="G437" s="24">
        <v>4.5999999999999996</v>
      </c>
      <c r="H437">
        <f>IF(MONTH(Table13[[#This Row],[Date of Call]])&lt;6, YEAR(Table13[[#This Row],[Date of Call]]),YEAR(Table13[[#This Row],[Date of Call]])+1)</f>
        <v>2023</v>
      </c>
      <c r="I437" t="str">
        <f>TEXT(Table13[[#This Row],[Date of Call]],"dddd")</f>
        <v>Saturday</v>
      </c>
      <c r="J4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37">
        <f>ROUND(Table13[[#This Row],[Satisfaction Rating]],0)</f>
        <v>5</v>
      </c>
    </row>
    <row r="438" spans="1:11" x14ac:dyDescent="0.3">
      <c r="A438" s="23" t="s">
        <v>479</v>
      </c>
      <c r="B438" s="6" t="s">
        <v>8</v>
      </c>
      <c r="C438" s="6">
        <v>14</v>
      </c>
      <c r="D438" s="13" t="s">
        <v>29</v>
      </c>
      <c r="E438" s="14">
        <v>45045</v>
      </c>
      <c r="F438" s="6">
        <v>96</v>
      </c>
      <c r="G438" s="24">
        <v>4.8</v>
      </c>
      <c r="H438">
        <f>IF(MONTH(Table13[[#This Row],[Date of Call]])&lt;6, YEAR(Table13[[#This Row],[Date of Call]]),YEAR(Table13[[#This Row],[Date of Call]])+1)</f>
        <v>2023</v>
      </c>
      <c r="I438" t="str">
        <f>TEXT(Table13[[#This Row],[Date of Call]],"dddd")</f>
        <v>Saturday</v>
      </c>
      <c r="J4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38">
        <f>ROUND(Table13[[#This Row],[Satisfaction Rating]],0)</f>
        <v>5</v>
      </c>
    </row>
    <row r="439" spans="1:11" x14ac:dyDescent="0.3">
      <c r="A439" s="23" t="s">
        <v>480</v>
      </c>
      <c r="B439" s="6" t="s">
        <v>5</v>
      </c>
      <c r="C439" s="6">
        <v>95</v>
      </c>
      <c r="D439" s="13" t="s">
        <v>31</v>
      </c>
      <c r="E439" s="14">
        <v>45046</v>
      </c>
      <c r="F439" s="6">
        <v>75</v>
      </c>
      <c r="G439" s="24">
        <v>4.8</v>
      </c>
      <c r="H439">
        <f>IF(MONTH(Table13[[#This Row],[Date of Call]])&lt;6, YEAR(Table13[[#This Row],[Date of Call]]),YEAR(Table13[[#This Row],[Date of Call]])+1)</f>
        <v>2023</v>
      </c>
      <c r="I439" t="str">
        <f>TEXT(Table13[[#This Row],[Date of Call]],"dddd")</f>
        <v>Sunday</v>
      </c>
      <c r="J4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39">
        <f>ROUND(Table13[[#This Row],[Satisfaction Rating]],0)</f>
        <v>5</v>
      </c>
    </row>
    <row r="440" spans="1:11" x14ac:dyDescent="0.3">
      <c r="A440" s="23" t="s">
        <v>481</v>
      </c>
      <c r="B440" s="6" t="s">
        <v>12</v>
      </c>
      <c r="C440" s="6">
        <v>81</v>
      </c>
      <c r="D440" s="13" t="s">
        <v>31</v>
      </c>
      <c r="E440" s="14">
        <v>45046</v>
      </c>
      <c r="F440" s="6">
        <v>60</v>
      </c>
      <c r="G440" s="24">
        <v>3.6</v>
      </c>
      <c r="H440">
        <f>IF(MONTH(Table13[[#This Row],[Date of Call]])&lt;6, YEAR(Table13[[#This Row],[Date of Call]]),YEAR(Table13[[#This Row],[Date of Call]])+1)</f>
        <v>2023</v>
      </c>
      <c r="I440" t="str">
        <f>TEXT(Table13[[#This Row],[Date of Call]],"dddd")</f>
        <v>Sunday</v>
      </c>
      <c r="J4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0">
        <f>ROUND(Table13[[#This Row],[Satisfaction Rating]],0)</f>
        <v>4</v>
      </c>
    </row>
    <row r="441" spans="1:11" x14ac:dyDescent="0.3">
      <c r="A441" s="23" t="s">
        <v>482</v>
      </c>
      <c r="B441" s="6" t="s">
        <v>11</v>
      </c>
      <c r="C441" s="6">
        <v>60</v>
      </c>
      <c r="D441" s="13" t="s">
        <v>29</v>
      </c>
      <c r="E441" s="14">
        <v>45047</v>
      </c>
      <c r="F441" s="6">
        <v>41</v>
      </c>
      <c r="G441" s="24">
        <v>4.8</v>
      </c>
      <c r="H441">
        <f>IF(MONTH(Table13[[#This Row],[Date of Call]])&lt;6, YEAR(Table13[[#This Row],[Date of Call]]),YEAR(Table13[[#This Row],[Date of Call]])+1)</f>
        <v>2023</v>
      </c>
      <c r="I441" t="str">
        <f>TEXT(Table13[[#This Row],[Date of Call]],"dddd")</f>
        <v>Monday</v>
      </c>
      <c r="J4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1">
        <f>ROUND(Table13[[#This Row],[Satisfaction Rating]],0)</f>
        <v>5</v>
      </c>
    </row>
    <row r="442" spans="1:11" x14ac:dyDescent="0.3">
      <c r="A442" s="23" t="s">
        <v>483</v>
      </c>
      <c r="B442" s="6" t="s">
        <v>16</v>
      </c>
      <c r="C442" s="6">
        <v>137</v>
      </c>
      <c r="D442" s="13" t="s">
        <v>28</v>
      </c>
      <c r="E442" s="14">
        <v>45047</v>
      </c>
      <c r="F442" s="6">
        <v>20</v>
      </c>
      <c r="G442" s="24">
        <v>4.2</v>
      </c>
      <c r="H442">
        <f>IF(MONTH(Table13[[#This Row],[Date of Call]])&lt;6, YEAR(Table13[[#This Row],[Date of Call]]),YEAR(Table13[[#This Row],[Date of Call]])+1)</f>
        <v>2023</v>
      </c>
      <c r="I442" t="str">
        <f>TEXT(Table13[[#This Row],[Date of Call]],"dddd")</f>
        <v>Monday</v>
      </c>
      <c r="J4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42">
        <f>ROUND(Table13[[#This Row],[Satisfaction Rating]],0)</f>
        <v>4</v>
      </c>
    </row>
    <row r="443" spans="1:11" x14ac:dyDescent="0.3">
      <c r="A443" s="23" t="s">
        <v>484</v>
      </c>
      <c r="B443" s="6" t="s">
        <v>7</v>
      </c>
      <c r="C443" s="6">
        <v>112</v>
      </c>
      <c r="D443" s="13" t="s">
        <v>30</v>
      </c>
      <c r="E443" s="14">
        <v>45047</v>
      </c>
      <c r="F443" s="6">
        <v>84</v>
      </c>
      <c r="G443" s="24">
        <v>2.6</v>
      </c>
      <c r="H443">
        <f>IF(MONTH(Table13[[#This Row],[Date of Call]])&lt;6, YEAR(Table13[[#This Row],[Date of Call]]),YEAR(Table13[[#This Row],[Date of Call]])+1)</f>
        <v>2023</v>
      </c>
      <c r="I443" t="str">
        <f>TEXT(Table13[[#This Row],[Date of Call]],"dddd")</f>
        <v>Monday</v>
      </c>
      <c r="J4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3">
        <f>ROUND(Table13[[#This Row],[Satisfaction Rating]],0)</f>
        <v>3</v>
      </c>
    </row>
    <row r="444" spans="1:11" x14ac:dyDescent="0.3">
      <c r="A444" s="23" t="s">
        <v>485</v>
      </c>
      <c r="B444" s="6" t="s">
        <v>5</v>
      </c>
      <c r="C444" s="6">
        <v>76</v>
      </c>
      <c r="D444" s="13" t="s">
        <v>32</v>
      </c>
      <c r="E444" s="14">
        <v>45047</v>
      </c>
      <c r="F444" s="6">
        <v>140</v>
      </c>
      <c r="G444" s="24">
        <v>3.7</v>
      </c>
      <c r="H444">
        <f>IF(MONTH(Table13[[#This Row],[Date of Call]])&lt;6, YEAR(Table13[[#This Row],[Date of Call]]),YEAR(Table13[[#This Row],[Date of Call]])+1)</f>
        <v>2023</v>
      </c>
      <c r="I444" t="str">
        <f>TEXT(Table13[[#This Row],[Date of Call]],"dddd")</f>
        <v>Monday</v>
      </c>
      <c r="J4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4">
        <f>ROUND(Table13[[#This Row],[Satisfaction Rating]],0)</f>
        <v>4</v>
      </c>
    </row>
    <row r="445" spans="1:11" x14ac:dyDescent="0.3">
      <c r="A445" s="23" t="s">
        <v>486</v>
      </c>
      <c r="B445" s="6" t="s">
        <v>18</v>
      </c>
      <c r="C445" s="6">
        <v>73</v>
      </c>
      <c r="D445" s="13" t="s">
        <v>29</v>
      </c>
      <c r="E445" s="14">
        <v>45047</v>
      </c>
      <c r="F445" s="6">
        <v>66</v>
      </c>
      <c r="G445" s="24">
        <v>4.8</v>
      </c>
      <c r="H445">
        <f>IF(MONTH(Table13[[#This Row],[Date of Call]])&lt;6, YEAR(Table13[[#This Row],[Date of Call]]),YEAR(Table13[[#This Row],[Date of Call]])+1)</f>
        <v>2023</v>
      </c>
      <c r="I445" t="str">
        <f>TEXT(Table13[[#This Row],[Date of Call]],"dddd")</f>
        <v>Monday</v>
      </c>
      <c r="J4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5">
        <f>ROUND(Table13[[#This Row],[Satisfaction Rating]],0)</f>
        <v>5</v>
      </c>
    </row>
    <row r="446" spans="1:11" x14ac:dyDescent="0.3">
      <c r="A446" s="23" t="s">
        <v>487</v>
      </c>
      <c r="B446" s="6" t="s">
        <v>13</v>
      </c>
      <c r="C446" s="6">
        <v>119</v>
      </c>
      <c r="D446" s="13" t="s">
        <v>28</v>
      </c>
      <c r="E446" s="14">
        <v>45047</v>
      </c>
      <c r="F446" s="6">
        <v>105</v>
      </c>
      <c r="G446" s="24">
        <v>4.7</v>
      </c>
      <c r="H446">
        <f>IF(MONTH(Table13[[#This Row],[Date of Call]])&lt;6, YEAR(Table13[[#This Row],[Date of Call]]),YEAR(Table13[[#This Row],[Date of Call]])+1)</f>
        <v>2023</v>
      </c>
      <c r="I446" t="str">
        <f>TEXT(Table13[[#This Row],[Date of Call]],"dddd")</f>
        <v>Monday</v>
      </c>
      <c r="J4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46">
        <f>ROUND(Table13[[#This Row],[Satisfaction Rating]],0)</f>
        <v>5</v>
      </c>
    </row>
    <row r="447" spans="1:11" x14ac:dyDescent="0.3">
      <c r="A447" s="23" t="s">
        <v>488</v>
      </c>
      <c r="B447" s="6" t="s">
        <v>6</v>
      </c>
      <c r="C447" s="6">
        <v>135</v>
      </c>
      <c r="D447" s="13" t="s">
        <v>31</v>
      </c>
      <c r="E447" s="14">
        <v>45048</v>
      </c>
      <c r="F447" s="6">
        <v>104</v>
      </c>
      <c r="G447" s="24">
        <v>4.0999999999999996</v>
      </c>
      <c r="H447">
        <f>IF(MONTH(Table13[[#This Row],[Date of Call]])&lt;6, YEAR(Table13[[#This Row],[Date of Call]]),YEAR(Table13[[#This Row],[Date of Call]])+1)</f>
        <v>2023</v>
      </c>
      <c r="I447" t="str">
        <f>TEXT(Table13[[#This Row],[Date of Call]],"dddd")</f>
        <v>Tuesday</v>
      </c>
      <c r="J4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47">
        <f>ROUND(Table13[[#This Row],[Satisfaction Rating]],0)</f>
        <v>4</v>
      </c>
    </row>
    <row r="448" spans="1:11" x14ac:dyDescent="0.3">
      <c r="A448" s="23" t="s">
        <v>489</v>
      </c>
      <c r="B448" s="6" t="s">
        <v>16</v>
      </c>
      <c r="C448" s="6">
        <v>41</v>
      </c>
      <c r="D448" s="13" t="s">
        <v>30</v>
      </c>
      <c r="E448" s="14">
        <v>45048</v>
      </c>
      <c r="F448" s="6">
        <v>123</v>
      </c>
      <c r="G448" s="24">
        <v>3.2</v>
      </c>
      <c r="H448">
        <f>IF(MONTH(Table13[[#This Row],[Date of Call]])&lt;6, YEAR(Table13[[#This Row],[Date of Call]]),YEAR(Table13[[#This Row],[Date of Call]])+1)</f>
        <v>2023</v>
      </c>
      <c r="I448" t="str">
        <f>TEXT(Table13[[#This Row],[Date of Call]],"dddd")</f>
        <v>Tuesday</v>
      </c>
      <c r="J4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48">
        <f>ROUND(Table13[[#This Row],[Satisfaction Rating]],0)</f>
        <v>3</v>
      </c>
    </row>
    <row r="449" spans="1:11" x14ac:dyDescent="0.3">
      <c r="A449" s="23" t="s">
        <v>490</v>
      </c>
      <c r="B449" s="6" t="s">
        <v>8</v>
      </c>
      <c r="C449" s="6">
        <v>35</v>
      </c>
      <c r="D449" s="13" t="s">
        <v>31</v>
      </c>
      <c r="E449" s="14">
        <v>45049</v>
      </c>
      <c r="F449" s="6">
        <v>215</v>
      </c>
      <c r="G449" s="24">
        <v>4.3</v>
      </c>
      <c r="H449">
        <f>IF(MONTH(Table13[[#This Row],[Date of Call]])&lt;6, YEAR(Table13[[#This Row],[Date of Call]]),YEAR(Table13[[#This Row],[Date of Call]])+1)</f>
        <v>2023</v>
      </c>
      <c r="I449" t="str">
        <f>TEXT(Table13[[#This Row],[Date of Call]],"dddd")</f>
        <v>Wednesday</v>
      </c>
      <c r="J4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49">
        <f>ROUND(Table13[[#This Row],[Satisfaction Rating]],0)</f>
        <v>4</v>
      </c>
    </row>
    <row r="450" spans="1:11" x14ac:dyDescent="0.3">
      <c r="A450" s="23" t="s">
        <v>491</v>
      </c>
      <c r="B450" s="6" t="s">
        <v>6</v>
      </c>
      <c r="C450" s="6">
        <v>96</v>
      </c>
      <c r="D450" s="13" t="s">
        <v>29</v>
      </c>
      <c r="E450" s="14">
        <v>45049</v>
      </c>
      <c r="F450" s="6">
        <v>46</v>
      </c>
      <c r="G450" s="24">
        <v>0.7</v>
      </c>
      <c r="H450">
        <f>IF(MONTH(Table13[[#This Row],[Date of Call]])&lt;6, YEAR(Table13[[#This Row],[Date of Call]]),YEAR(Table13[[#This Row],[Date of Call]])+1)</f>
        <v>2023</v>
      </c>
      <c r="I450" t="str">
        <f>TEXT(Table13[[#This Row],[Date of Call]],"dddd")</f>
        <v>Wednesday</v>
      </c>
      <c r="J4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0">
        <f>ROUND(Table13[[#This Row],[Satisfaction Rating]],0)</f>
        <v>1</v>
      </c>
    </row>
    <row r="451" spans="1:11" x14ac:dyDescent="0.3">
      <c r="A451" s="23" t="s">
        <v>492</v>
      </c>
      <c r="B451" s="6" t="s">
        <v>12</v>
      </c>
      <c r="C451" s="6">
        <v>61</v>
      </c>
      <c r="D451" s="13" t="s">
        <v>30</v>
      </c>
      <c r="E451" s="14">
        <v>45049</v>
      </c>
      <c r="F451" s="6">
        <v>115</v>
      </c>
      <c r="G451" s="24">
        <v>3.7</v>
      </c>
      <c r="H451">
        <f>IF(MONTH(Table13[[#This Row],[Date of Call]])&lt;6, YEAR(Table13[[#This Row],[Date of Call]]),YEAR(Table13[[#This Row],[Date of Call]])+1)</f>
        <v>2023</v>
      </c>
      <c r="I451" t="str">
        <f>TEXT(Table13[[#This Row],[Date of Call]],"dddd")</f>
        <v>Wednesday</v>
      </c>
      <c r="J4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1">
        <f>ROUND(Table13[[#This Row],[Satisfaction Rating]],0)</f>
        <v>4</v>
      </c>
    </row>
    <row r="452" spans="1:11" x14ac:dyDescent="0.3">
      <c r="A452" s="23" t="s">
        <v>493</v>
      </c>
      <c r="B452" s="6" t="s">
        <v>6</v>
      </c>
      <c r="C452" s="6">
        <v>91</v>
      </c>
      <c r="D452" s="13" t="s">
        <v>30</v>
      </c>
      <c r="E452" s="14">
        <v>45049</v>
      </c>
      <c r="F452" s="6">
        <v>124</v>
      </c>
      <c r="G452" s="24">
        <v>3.9</v>
      </c>
      <c r="H452">
        <f>IF(MONTH(Table13[[#This Row],[Date of Call]])&lt;6, YEAR(Table13[[#This Row],[Date of Call]]),YEAR(Table13[[#This Row],[Date of Call]])+1)</f>
        <v>2023</v>
      </c>
      <c r="I452" t="str">
        <f>TEXT(Table13[[#This Row],[Date of Call]],"dddd")</f>
        <v>Wednesday</v>
      </c>
      <c r="J4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2">
        <f>ROUND(Table13[[#This Row],[Satisfaction Rating]],0)</f>
        <v>4</v>
      </c>
    </row>
    <row r="453" spans="1:11" x14ac:dyDescent="0.3">
      <c r="A453" s="23" t="s">
        <v>494</v>
      </c>
      <c r="B453" s="6" t="s">
        <v>4</v>
      </c>
      <c r="C453" s="6">
        <v>30</v>
      </c>
      <c r="D453" s="13" t="s">
        <v>30</v>
      </c>
      <c r="E453" s="14">
        <v>45050</v>
      </c>
      <c r="F453" s="6">
        <v>205</v>
      </c>
      <c r="G453" s="24">
        <v>4.5</v>
      </c>
      <c r="H453">
        <f>IF(MONTH(Table13[[#This Row],[Date of Call]])&lt;6, YEAR(Table13[[#This Row],[Date of Call]]),YEAR(Table13[[#This Row],[Date of Call]])+1)</f>
        <v>2023</v>
      </c>
      <c r="I453" t="str">
        <f>TEXT(Table13[[#This Row],[Date of Call]],"dddd")</f>
        <v>Thursday</v>
      </c>
      <c r="J4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53">
        <f>ROUND(Table13[[#This Row],[Satisfaction Rating]],0)</f>
        <v>5</v>
      </c>
    </row>
    <row r="454" spans="1:11" x14ac:dyDescent="0.3">
      <c r="A454" s="23" t="s">
        <v>495</v>
      </c>
      <c r="B454" s="6" t="s">
        <v>11</v>
      </c>
      <c r="C454" s="6">
        <v>111</v>
      </c>
      <c r="D454" s="13" t="s">
        <v>28</v>
      </c>
      <c r="E454" s="14">
        <v>45050</v>
      </c>
      <c r="F454" s="6">
        <v>90</v>
      </c>
      <c r="G454" s="24">
        <v>2.8</v>
      </c>
      <c r="H454">
        <f>IF(MONTH(Table13[[#This Row],[Date of Call]])&lt;6, YEAR(Table13[[#This Row],[Date of Call]]),YEAR(Table13[[#This Row],[Date of Call]])+1)</f>
        <v>2023</v>
      </c>
      <c r="I454" t="str">
        <f>TEXT(Table13[[#This Row],[Date of Call]],"dddd")</f>
        <v>Thursday</v>
      </c>
      <c r="J4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4">
        <f>ROUND(Table13[[#This Row],[Satisfaction Rating]],0)</f>
        <v>3</v>
      </c>
    </row>
    <row r="455" spans="1:11" x14ac:dyDescent="0.3">
      <c r="A455" s="23" t="s">
        <v>496</v>
      </c>
      <c r="B455" s="6" t="s">
        <v>12</v>
      </c>
      <c r="C455" s="6">
        <v>81</v>
      </c>
      <c r="D455" s="13" t="s">
        <v>29</v>
      </c>
      <c r="E455" s="14">
        <v>45050</v>
      </c>
      <c r="F455" s="6">
        <v>92</v>
      </c>
      <c r="G455" s="24">
        <v>4.9000000000000004</v>
      </c>
      <c r="H455">
        <f>IF(MONTH(Table13[[#This Row],[Date of Call]])&lt;6, YEAR(Table13[[#This Row],[Date of Call]]),YEAR(Table13[[#This Row],[Date of Call]])+1)</f>
        <v>2023</v>
      </c>
      <c r="I455" t="str">
        <f>TEXT(Table13[[#This Row],[Date of Call]],"dddd")</f>
        <v>Thursday</v>
      </c>
      <c r="J4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5">
        <f>ROUND(Table13[[#This Row],[Satisfaction Rating]],0)</f>
        <v>5</v>
      </c>
    </row>
    <row r="456" spans="1:11" x14ac:dyDescent="0.3">
      <c r="A456" s="23" t="s">
        <v>497</v>
      </c>
      <c r="B456" s="6" t="s">
        <v>5</v>
      </c>
      <c r="C456" s="6">
        <v>40</v>
      </c>
      <c r="D456" s="13" t="s">
        <v>31</v>
      </c>
      <c r="E456" s="14">
        <v>45052</v>
      </c>
      <c r="F456" s="6">
        <v>108</v>
      </c>
      <c r="G456" s="24">
        <v>4.2</v>
      </c>
      <c r="H456">
        <f>IF(MONTH(Table13[[#This Row],[Date of Call]])&lt;6, YEAR(Table13[[#This Row],[Date of Call]]),YEAR(Table13[[#This Row],[Date of Call]])+1)</f>
        <v>2023</v>
      </c>
      <c r="I456" t="str">
        <f>TEXT(Table13[[#This Row],[Date of Call]],"dddd")</f>
        <v>Saturday</v>
      </c>
      <c r="J4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56">
        <f>ROUND(Table13[[#This Row],[Satisfaction Rating]],0)</f>
        <v>4</v>
      </c>
    </row>
    <row r="457" spans="1:11" x14ac:dyDescent="0.3">
      <c r="A457" s="23" t="s">
        <v>498</v>
      </c>
      <c r="B457" s="6" t="s">
        <v>11</v>
      </c>
      <c r="C457" s="6">
        <v>143</v>
      </c>
      <c r="D457" s="13" t="s">
        <v>31</v>
      </c>
      <c r="E457" s="14">
        <v>45052</v>
      </c>
      <c r="F457" s="6">
        <v>54</v>
      </c>
      <c r="G457" s="24">
        <v>4.4000000000000004</v>
      </c>
      <c r="H457">
        <f>IF(MONTH(Table13[[#This Row],[Date of Call]])&lt;6, YEAR(Table13[[#This Row],[Date of Call]]),YEAR(Table13[[#This Row],[Date of Call]])+1)</f>
        <v>2023</v>
      </c>
      <c r="I457" t="str">
        <f>TEXT(Table13[[#This Row],[Date of Call]],"dddd")</f>
        <v>Saturday</v>
      </c>
      <c r="J4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57">
        <f>ROUND(Table13[[#This Row],[Satisfaction Rating]],0)</f>
        <v>4</v>
      </c>
    </row>
    <row r="458" spans="1:11" x14ac:dyDescent="0.3">
      <c r="A458" s="23" t="s">
        <v>499</v>
      </c>
      <c r="B458" s="6" t="s">
        <v>5</v>
      </c>
      <c r="C458" s="6">
        <v>70</v>
      </c>
      <c r="D458" s="13" t="s">
        <v>31</v>
      </c>
      <c r="E458" s="14">
        <v>45053</v>
      </c>
      <c r="F458" s="6">
        <v>44</v>
      </c>
      <c r="G458" s="24">
        <v>3.5</v>
      </c>
      <c r="H458">
        <f>IF(MONTH(Table13[[#This Row],[Date of Call]])&lt;6, YEAR(Table13[[#This Row],[Date of Call]]),YEAR(Table13[[#This Row],[Date of Call]])+1)</f>
        <v>2023</v>
      </c>
      <c r="I458" t="str">
        <f>TEXT(Table13[[#This Row],[Date of Call]],"dddd")</f>
        <v>Sunday</v>
      </c>
      <c r="J4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58">
        <f>ROUND(Table13[[#This Row],[Satisfaction Rating]],0)</f>
        <v>4</v>
      </c>
    </row>
    <row r="459" spans="1:11" x14ac:dyDescent="0.3">
      <c r="A459" s="23" t="s">
        <v>500</v>
      </c>
      <c r="B459" s="6" t="s">
        <v>18</v>
      </c>
      <c r="C459" s="6">
        <v>137</v>
      </c>
      <c r="D459" s="13" t="s">
        <v>31</v>
      </c>
      <c r="E459" s="14">
        <v>45053</v>
      </c>
      <c r="F459" s="6">
        <v>44</v>
      </c>
      <c r="G459" s="24">
        <v>4.7</v>
      </c>
      <c r="H459">
        <f>IF(MONTH(Table13[[#This Row],[Date of Call]])&lt;6, YEAR(Table13[[#This Row],[Date of Call]]),YEAR(Table13[[#This Row],[Date of Call]])+1)</f>
        <v>2023</v>
      </c>
      <c r="I459" t="str">
        <f>TEXT(Table13[[#This Row],[Date of Call]],"dddd")</f>
        <v>Sunday</v>
      </c>
      <c r="J4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59">
        <f>ROUND(Table13[[#This Row],[Satisfaction Rating]],0)</f>
        <v>5</v>
      </c>
    </row>
    <row r="460" spans="1:11" x14ac:dyDescent="0.3">
      <c r="A460" s="23" t="s">
        <v>501</v>
      </c>
      <c r="B460" s="6" t="s">
        <v>6</v>
      </c>
      <c r="C460" s="6">
        <v>52</v>
      </c>
      <c r="D460" s="13" t="s">
        <v>29</v>
      </c>
      <c r="E460" s="14">
        <v>45054</v>
      </c>
      <c r="F460" s="6">
        <v>37</v>
      </c>
      <c r="G460" s="24">
        <v>4.9000000000000004</v>
      </c>
      <c r="H460">
        <f>IF(MONTH(Table13[[#This Row],[Date of Call]])&lt;6, YEAR(Table13[[#This Row],[Date of Call]]),YEAR(Table13[[#This Row],[Date of Call]])+1)</f>
        <v>2023</v>
      </c>
      <c r="I460" t="str">
        <f>TEXT(Table13[[#This Row],[Date of Call]],"dddd")</f>
        <v>Monday</v>
      </c>
      <c r="J4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60">
        <f>ROUND(Table13[[#This Row],[Satisfaction Rating]],0)</f>
        <v>5</v>
      </c>
    </row>
    <row r="461" spans="1:11" x14ac:dyDescent="0.3">
      <c r="A461" s="23" t="s">
        <v>502</v>
      </c>
      <c r="B461" s="6" t="s">
        <v>7</v>
      </c>
      <c r="C461" s="6">
        <v>31</v>
      </c>
      <c r="D461" s="13" t="s">
        <v>28</v>
      </c>
      <c r="E461" s="14">
        <v>45054</v>
      </c>
      <c r="F461" s="6">
        <v>180</v>
      </c>
      <c r="G461" s="24">
        <v>4.5</v>
      </c>
      <c r="H461">
        <f>IF(MONTH(Table13[[#This Row],[Date of Call]])&lt;6, YEAR(Table13[[#This Row],[Date of Call]]),YEAR(Table13[[#This Row],[Date of Call]])+1)</f>
        <v>2023</v>
      </c>
      <c r="I461" t="str">
        <f>TEXT(Table13[[#This Row],[Date of Call]],"dddd")</f>
        <v>Monday</v>
      </c>
      <c r="J4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61">
        <f>ROUND(Table13[[#This Row],[Satisfaction Rating]],0)</f>
        <v>5</v>
      </c>
    </row>
    <row r="462" spans="1:11" x14ac:dyDescent="0.3">
      <c r="A462" s="23" t="s">
        <v>503</v>
      </c>
      <c r="B462" s="6" t="s">
        <v>6</v>
      </c>
      <c r="C462" s="6">
        <v>114</v>
      </c>
      <c r="D462" s="13" t="s">
        <v>30</v>
      </c>
      <c r="E462" s="14">
        <v>45054</v>
      </c>
      <c r="F462" s="6">
        <v>105</v>
      </c>
      <c r="G462" s="24">
        <v>4.9000000000000004</v>
      </c>
      <c r="H462">
        <f>IF(MONTH(Table13[[#This Row],[Date of Call]])&lt;6, YEAR(Table13[[#This Row],[Date of Call]]),YEAR(Table13[[#This Row],[Date of Call]])+1)</f>
        <v>2023</v>
      </c>
      <c r="I462" t="str">
        <f>TEXT(Table13[[#This Row],[Date of Call]],"dddd")</f>
        <v>Monday</v>
      </c>
      <c r="J4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62">
        <f>ROUND(Table13[[#This Row],[Satisfaction Rating]],0)</f>
        <v>5</v>
      </c>
    </row>
    <row r="463" spans="1:11" x14ac:dyDescent="0.3">
      <c r="A463" s="23" t="s">
        <v>504</v>
      </c>
      <c r="B463" s="6" t="s">
        <v>18</v>
      </c>
      <c r="C463" s="6">
        <v>73</v>
      </c>
      <c r="D463" s="13" t="s">
        <v>32</v>
      </c>
      <c r="E463" s="14">
        <v>45054</v>
      </c>
      <c r="F463" s="6">
        <v>87</v>
      </c>
      <c r="G463" s="24">
        <v>3.6</v>
      </c>
      <c r="H463">
        <f>IF(MONTH(Table13[[#This Row],[Date of Call]])&lt;6, YEAR(Table13[[#This Row],[Date of Call]]),YEAR(Table13[[#This Row],[Date of Call]])+1)</f>
        <v>2023</v>
      </c>
      <c r="I463" t="str">
        <f>TEXT(Table13[[#This Row],[Date of Call]],"dddd")</f>
        <v>Monday</v>
      </c>
      <c r="J4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63">
        <f>ROUND(Table13[[#This Row],[Satisfaction Rating]],0)</f>
        <v>4</v>
      </c>
    </row>
    <row r="464" spans="1:11" x14ac:dyDescent="0.3">
      <c r="A464" s="23" t="s">
        <v>505</v>
      </c>
      <c r="B464" s="6" t="s">
        <v>12</v>
      </c>
      <c r="C464" s="6">
        <v>25</v>
      </c>
      <c r="D464" s="13" t="s">
        <v>28</v>
      </c>
      <c r="E464" s="14">
        <v>45054</v>
      </c>
      <c r="F464" s="6">
        <v>52</v>
      </c>
      <c r="G464" s="24">
        <v>3.8</v>
      </c>
      <c r="H464">
        <f>IF(MONTH(Table13[[#This Row],[Date of Call]])&lt;6, YEAR(Table13[[#This Row],[Date of Call]]),YEAR(Table13[[#This Row],[Date of Call]])+1)</f>
        <v>2023</v>
      </c>
      <c r="I464" t="str">
        <f>TEXT(Table13[[#This Row],[Date of Call]],"dddd")</f>
        <v>Monday</v>
      </c>
      <c r="J4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64">
        <f>ROUND(Table13[[#This Row],[Satisfaction Rating]],0)</f>
        <v>4</v>
      </c>
    </row>
    <row r="465" spans="1:11" x14ac:dyDescent="0.3">
      <c r="A465" s="23" t="s">
        <v>506</v>
      </c>
      <c r="B465" s="6" t="s">
        <v>14</v>
      </c>
      <c r="C465" s="6">
        <v>44</v>
      </c>
      <c r="D465" s="13" t="s">
        <v>30</v>
      </c>
      <c r="E465" s="14">
        <v>45054</v>
      </c>
      <c r="F465" s="6">
        <v>63</v>
      </c>
      <c r="G465" s="24">
        <v>3.5</v>
      </c>
      <c r="H465">
        <f>IF(MONTH(Table13[[#This Row],[Date of Call]])&lt;6, YEAR(Table13[[#This Row],[Date of Call]]),YEAR(Table13[[#This Row],[Date of Call]])+1)</f>
        <v>2023</v>
      </c>
      <c r="I465" t="str">
        <f>TEXT(Table13[[#This Row],[Date of Call]],"dddd")</f>
        <v>Monday</v>
      </c>
      <c r="J4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65">
        <f>ROUND(Table13[[#This Row],[Satisfaction Rating]],0)</f>
        <v>4</v>
      </c>
    </row>
    <row r="466" spans="1:11" x14ac:dyDescent="0.3">
      <c r="A466" s="23" t="s">
        <v>507</v>
      </c>
      <c r="B466" s="6" t="s">
        <v>9</v>
      </c>
      <c r="C466" s="6">
        <v>34</v>
      </c>
      <c r="D466" s="13" t="s">
        <v>29</v>
      </c>
      <c r="E466" s="14">
        <v>45055</v>
      </c>
      <c r="F466" s="6">
        <v>195</v>
      </c>
      <c r="G466" s="24">
        <v>4.8</v>
      </c>
      <c r="H466">
        <f>IF(MONTH(Table13[[#This Row],[Date of Call]])&lt;6, YEAR(Table13[[#This Row],[Date of Call]]),YEAR(Table13[[#This Row],[Date of Call]])+1)</f>
        <v>2023</v>
      </c>
      <c r="I466" t="str">
        <f>TEXT(Table13[[#This Row],[Date of Call]],"dddd")</f>
        <v>Tuesday</v>
      </c>
      <c r="J4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66">
        <f>ROUND(Table13[[#This Row],[Satisfaction Rating]],0)</f>
        <v>5</v>
      </c>
    </row>
    <row r="467" spans="1:11" x14ac:dyDescent="0.3">
      <c r="A467" s="23" t="s">
        <v>508</v>
      </c>
      <c r="B467" s="6" t="s">
        <v>11</v>
      </c>
      <c r="C467" s="6">
        <v>89</v>
      </c>
      <c r="D467" s="13" t="s">
        <v>31</v>
      </c>
      <c r="E467" s="14">
        <v>45056</v>
      </c>
      <c r="F467" s="6">
        <v>176</v>
      </c>
      <c r="G467" s="24">
        <v>4.5</v>
      </c>
      <c r="H467">
        <f>IF(MONTH(Table13[[#This Row],[Date of Call]])&lt;6, YEAR(Table13[[#This Row],[Date of Call]]),YEAR(Table13[[#This Row],[Date of Call]])+1)</f>
        <v>2023</v>
      </c>
      <c r="I467" t="str">
        <f>TEXT(Table13[[#This Row],[Date of Call]],"dddd")</f>
        <v>Wednesday</v>
      </c>
      <c r="J4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67">
        <f>ROUND(Table13[[#This Row],[Satisfaction Rating]],0)</f>
        <v>5</v>
      </c>
    </row>
    <row r="468" spans="1:11" x14ac:dyDescent="0.3">
      <c r="A468" s="23" t="s">
        <v>509</v>
      </c>
      <c r="B468" s="6" t="s">
        <v>13</v>
      </c>
      <c r="C468" s="6">
        <v>54</v>
      </c>
      <c r="D468" s="13" t="s">
        <v>28</v>
      </c>
      <c r="E468" s="14">
        <v>45057</v>
      </c>
      <c r="F468" s="6">
        <v>31</v>
      </c>
      <c r="G468" s="24">
        <v>3.3</v>
      </c>
      <c r="H468">
        <f>IF(MONTH(Table13[[#This Row],[Date of Call]])&lt;6, YEAR(Table13[[#This Row],[Date of Call]]),YEAR(Table13[[#This Row],[Date of Call]])+1)</f>
        <v>2023</v>
      </c>
      <c r="I468" t="str">
        <f>TEXT(Table13[[#This Row],[Date of Call]],"dddd")</f>
        <v>Thursday</v>
      </c>
      <c r="J4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68">
        <f>ROUND(Table13[[#This Row],[Satisfaction Rating]],0)</f>
        <v>3</v>
      </c>
    </row>
    <row r="469" spans="1:11" x14ac:dyDescent="0.3">
      <c r="A469" s="23" t="s">
        <v>510</v>
      </c>
      <c r="B469" s="6" t="s">
        <v>8</v>
      </c>
      <c r="C469" s="6">
        <v>25</v>
      </c>
      <c r="D469" s="13" t="s">
        <v>28</v>
      </c>
      <c r="E469" s="14">
        <v>45058</v>
      </c>
      <c r="F469" s="6">
        <v>27</v>
      </c>
      <c r="G469" s="24">
        <v>3.2</v>
      </c>
      <c r="H469">
        <f>IF(MONTH(Table13[[#This Row],[Date of Call]])&lt;6, YEAR(Table13[[#This Row],[Date of Call]]),YEAR(Table13[[#This Row],[Date of Call]])+1)</f>
        <v>2023</v>
      </c>
      <c r="I469" t="str">
        <f>TEXT(Table13[[#This Row],[Date of Call]],"dddd")</f>
        <v>Friday</v>
      </c>
      <c r="J4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69">
        <f>ROUND(Table13[[#This Row],[Satisfaction Rating]],0)</f>
        <v>3</v>
      </c>
    </row>
    <row r="470" spans="1:11" x14ac:dyDescent="0.3">
      <c r="A470" s="23" t="s">
        <v>511</v>
      </c>
      <c r="B470" s="6" t="s">
        <v>16</v>
      </c>
      <c r="C470" s="6">
        <v>91</v>
      </c>
      <c r="D470" s="13" t="s">
        <v>31</v>
      </c>
      <c r="E470" s="14">
        <v>45058</v>
      </c>
      <c r="F470" s="6">
        <v>76</v>
      </c>
      <c r="G470" s="24">
        <v>4.9000000000000004</v>
      </c>
      <c r="H470">
        <f>IF(MONTH(Table13[[#This Row],[Date of Call]])&lt;6, YEAR(Table13[[#This Row],[Date of Call]]),YEAR(Table13[[#This Row],[Date of Call]])+1)</f>
        <v>2023</v>
      </c>
      <c r="I470" t="str">
        <f>TEXT(Table13[[#This Row],[Date of Call]],"dddd")</f>
        <v>Friday</v>
      </c>
      <c r="J4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70">
        <f>ROUND(Table13[[#This Row],[Satisfaction Rating]],0)</f>
        <v>5</v>
      </c>
    </row>
    <row r="471" spans="1:11" x14ac:dyDescent="0.3">
      <c r="A471" s="23" t="s">
        <v>512</v>
      </c>
      <c r="B471" s="6" t="s">
        <v>14</v>
      </c>
      <c r="C471" s="6">
        <v>144</v>
      </c>
      <c r="D471" s="13" t="s">
        <v>30</v>
      </c>
      <c r="E471" s="14">
        <v>45058</v>
      </c>
      <c r="F471" s="6">
        <v>62</v>
      </c>
      <c r="G471" s="24">
        <v>4.8</v>
      </c>
      <c r="H471">
        <f>IF(MONTH(Table13[[#This Row],[Date of Call]])&lt;6, YEAR(Table13[[#This Row],[Date of Call]]),YEAR(Table13[[#This Row],[Date of Call]])+1)</f>
        <v>2023</v>
      </c>
      <c r="I471" t="str">
        <f>TEXT(Table13[[#This Row],[Date of Call]],"dddd")</f>
        <v>Friday</v>
      </c>
      <c r="J4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71">
        <f>ROUND(Table13[[#This Row],[Satisfaction Rating]],0)</f>
        <v>5</v>
      </c>
    </row>
    <row r="472" spans="1:11" x14ac:dyDescent="0.3">
      <c r="A472" s="23" t="s">
        <v>513</v>
      </c>
      <c r="B472" s="6" t="s">
        <v>16</v>
      </c>
      <c r="C472" s="6">
        <v>81</v>
      </c>
      <c r="D472" s="13" t="s">
        <v>29</v>
      </c>
      <c r="E472" s="14">
        <v>45060</v>
      </c>
      <c r="F472" s="6">
        <v>100</v>
      </c>
      <c r="G472" s="24">
        <v>1.3</v>
      </c>
      <c r="H472">
        <f>IF(MONTH(Table13[[#This Row],[Date of Call]])&lt;6, YEAR(Table13[[#This Row],[Date of Call]]),YEAR(Table13[[#This Row],[Date of Call]])+1)</f>
        <v>2023</v>
      </c>
      <c r="I472" t="str">
        <f>TEXT(Table13[[#This Row],[Date of Call]],"dddd")</f>
        <v>Sunday</v>
      </c>
      <c r="J4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72">
        <f>ROUND(Table13[[#This Row],[Satisfaction Rating]],0)</f>
        <v>1</v>
      </c>
    </row>
    <row r="473" spans="1:11" x14ac:dyDescent="0.3">
      <c r="A473" s="23" t="s">
        <v>514</v>
      </c>
      <c r="B473" s="6" t="s">
        <v>4</v>
      </c>
      <c r="C473" s="6">
        <v>92</v>
      </c>
      <c r="D473" s="13" t="s">
        <v>28</v>
      </c>
      <c r="E473" s="14">
        <v>45060</v>
      </c>
      <c r="F473" s="6">
        <v>44</v>
      </c>
      <c r="G473" s="24">
        <v>3.1</v>
      </c>
      <c r="H473">
        <f>IF(MONTH(Table13[[#This Row],[Date of Call]])&lt;6, YEAR(Table13[[#This Row],[Date of Call]]),YEAR(Table13[[#This Row],[Date of Call]])+1)</f>
        <v>2023</v>
      </c>
      <c r="I473" t="str">
        <f>TEXT(Table13[[#This Row],[Date of Call]],"dddd")</f>
        <v>Sunday</v>
      </c>
      <c r="J4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73">
        <f>ROUND(Table13[[#This Row],[Satisfaction Rating]],0)</f>
        <v>3</v>
      </c>
    </row>
    <row r="474" spans="1:11" x14ac:dyDescent="0.3">
      <c r="A474" s="23" t="s">
        <v>515</v>
      </c>
      <c r="B474" s="6" t="s">
        <v>8</v>
      </c>
      <c r="C474" s="6">
        <v>115</v>
      </c>
      <c r="D474" s="13" t="s">
        <v>31</v>
      </c>
      <c r="E474" s="14">
        <v>45060</v>
      </c>
      <c r="F474" s="6">
        <v>168</v>
      </c>
      <c r="G474" s="24">
        <v>3.4</v>
      </c>
      <c r="H474">
        <f>IF(MONTH(Table13[[#This Row],[Date of Call]])&lt;6, YEAR(Table13[[#This Row],[Date of Call]]),YEAR(Table13[[#This Row],[Date of Call]])+1)</f>
        <v>2023</v>
      </c>
      <c r="I474" t="str">
        <f>TEXT(Table13[[#This Row],[Date of Call]],"dddd")</f>
        <v>Sunday</v>
      </c>
      <c r="J4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74">
        <f>ROUND(Table13[[#This Row],[Satisfaction Rating]],0)</f>
        <v>3</v>
      </c>
    </row>
    <row r="475" spans="1:11" x14ac:dyDescent="0.3">
      <c r="A475" s="23" t="s">
        <v>516</v>
      </c>
      <c r="B475" s="6" t="s">
        <v>10</v>
      </c>
      <c r="C475" s="6">
        <v>56</v>
      </c>
      <c r="D475" s="13" t="s">
        <v>31</v>
      </c>
      <c r="E475" s="14">
        <v>45061</v>
      </c>
      <c r="F475" s="6">
        <v>200</v>
      </c>
      <c r="G475" s="24">
        <v>4.5999999999999996</v>
      </c>
      <c r="H475">
        <f>IF(MONTH(Table13[[#This Row],[Date of Call]])&lt;6, YEAR(Table13[[#This Row],[Date of Call]]),YEAR(Table13[[#This Row],[Date of Call]])+1)</f>
        <v>2023</v>
      </c>
      <c r="I475" t="str">
        <f>TEXT(Table13[[#This Row],[Date of Call]],"dddd")</f>
        <v>Monday</v>
      </c>
      <c r="J4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75">
        <f>ROUND(Table13[[#This Row],[Satisfaction Rating]],0)</f>
        <v>5</v>
      </c>
    </row>
    <row r="476" spans="1:11" x14ac:dyDescent="0.3">
      <c r="A476" s="23" t="s">
        <v>517</v>
      </c>
      <c r="B476" s="6" t="s">
        <v>7</v>
      </c>
      <c r="C476" s="6">
        <v>154</v>
      </c>
      <c r="D476" s="13" t="s">
        <v>28</v>
      </c>
      <c r="E476" s="14">
        <v>45061</v>
      </c>
      <c r="F476" s="6">
        <v>84</v>
      </c>
      <c r="G476" s="24">
        <v>4.3</v>
      </c>
      <c r="H476">
        <f>IF(MONTH(Table13[[#This Row],[Date of Call]])&lt;6, YEAR(Table13[[#This Row],[Date of Call]]),YEAR(Table13[[#This Row],[Date of Call]])+1)</f>
        <v>2023</v>
      </c>
      <c r="I476" t="str">
        <f>TEXT(Table13[[#This Row],[Date of Call]],"dddd")</f>
        <v>Monday</v>
      </c>
      <c r="J4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76">
        <f>ROUND(Table13[[#This Row],[Satisfaction Rating]],0)</f>
        <v>4</v>
      </c>
    </row>
    <row r="477" spans="1:11" x14ac:dyDescent="0.3">
      <c r="A477" s="23" t="s">
        <v>518</v>
      </c>
      <c r="B477" s="6" t="s">
        <v>11</v>
      </c>
      <c r="C477" s="6">
        <v>51</v>
      </c>
      <c r="D477" s="13" t="s">
        <v>31</v>
      </c>
      <c r="E477" s="14">
        <v>45062</v>
      </c>
      <c r="F477" s="6">
        <v>117</v>
      </c>
      <c r="G477" s="24">
        <v>2.7</v>
      </c>
      <c r="H477">
        <f>IF(MONTH(Table13[[#This Row],[Date of Call]])&lt;6, YEAR(Table13[[#This Row],[Date of Call]]),YEAR(Table13[[#This Row],[Date of Call]])+1)</f>
        <v>2023</v>
      </c>
      <c r="I477" t="str">
        <f>TEXT(Table13[[#This Row],[Date of Call]],"dddd")</f>
        <v>Tuesday</v>
      </c>
      <c r="J4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77">
        <f>ROUND(Table13[[#This Row],[Satisfaction Rating]],0)</f>
        <v>3</v>
      </c>
    </row>
    <row r="478" spans="1:11" x14ac:dyDescent="0.3">
      <c r="A478" s="23" t="s">
        <v>519</v>
      </c>
      <c r="B478" s="6" t="s">
        <v>9</v>
      </c>
      <c r="C478" s="6">
        <v>21</v>
      </c>
      <c r="D478" s="13" t="s">
        <v>29</v>
      </c>
      <c r="E478" s="14">
        <v>45062</v>
      </c>
      <c r="F478" s="6">
        <v>63</v>
      </c>
      <c r="G478" s="24">
        <v>4.2</v>
      </c>
      <c r="H478">
        <f>IF(MONTH(Table13[[#This Row],[Date of Call]])&lt;6, YEAR(Table13[[#This Row],[Date of Call]]),YEAR(Table13[[#This Row],[Date of Call]])+1)</f>
        <v>2023</v>
      </c>
      <c r="I478" t="str">
        <f>TEXT(Table13[[#This Row],[Date of Call]],"dddd")</f>
        <v>Tuesday</v>
      </c>
      <c r="J4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78">
        <f>ROUND(Table13[[#This Row],[Satisfaction Rating]],0)</f>
        <v>4</v>
      </c>
    </row>
    <row r="479" spans="1:11" x14ac:dyDescent="0.3">
      <c r="A479" s="23" t="s">
        <v>520</v>
      </c>
      <c r="B479" s="6" t="s">
        <v>8</v>
      </c>
      <c r="C479" s="6">
        <v>80</v>
      </c>
      <c r="D479" s="13" t="s">
        <v>31</v>
      </c>
      <c r="E479" s="14">
        <v>45063</v>
      </c>
      <c r="F479" s="6">
        <v>145</v>
      </c>
      <c r="G479" s="24">
        <v>4.9000000000000004</v>
      </c>
      <c r="H479">
        <f>IF(MONTH(Table13[[#This Row],[Date of Call]])&lt;6, YEAR(Table13[[#This Row],[Date of Call]]),YEAR(Table13[[#This Row],[Date of Call]])+1)</f>
        <v>2023</v>
      </c>
      <c r="I479" t="str">
        <f>TEXT(Table13[[#This Row],[Date of Call]],"dddd")</f>
        <v>Wednesday</v>
      </c>
      <c r="J4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79">
        <f>ROUND(Table13[[#This Row],[Satisfaction Rating]],0)</f>
        <v>5</v>
      </c>
    </row>
    <row r="480" spans="1:11" x14ac:dyDescent="0.3">
      <c r="A480" s="23" t="s">
        <v>521</v>
      </c>
      <c r="B480" s="6" t="s">
        <v>11</v>
      </c>
      <c r="C480" s="6">
        <v>139</v>
      </c>
      <c r="D480" s="13" t="s">
        <v>28</v>
      </c>
      <c r="E480" s="14">
        <v>45063</v>
      </c>
      <c r="F480" s="6">
        <v>220</v>
      </c>
      <c r="G480" s="24">
        <v>3.2</v>
      </c>
      <c r="H480">
        <f>IF(MONTH(Table13[[#This Row],[Date of Call]])&lt;6, YEAR(Table13[[#This Row],[Date of Call]]),YEAR(Table13[[#This Row],[Date of Call]])+1)</f>
        <v>2023</v>
      </c>
      <c r="I480" t="str">
        <f>TEXT(Table13[[#This Row],[Date of Call]],"dddd")</f>
        <v>Wednesday</v>
      </c>
      <c r="J4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80">
        <f>ROUND(Table13[[#This Row],[Satisfaction Rating]],0)</f>
        <v>3</v>
      </c>
    </row>
    <row r="481" spans="1:11" x14ac:dyDescent="0.3">
      <c r="A481" s="23" t="s">
        <v>522</v>
      </c>
      <c r="B481" s="6" t="s">
        <v>5</v>
      </c>
      <c r="C481" s="6">
        <v>50</v>
      </c>
      <c r="D481" s="13" t="s">
        <v>29</v>
      </c>
      <c r="E481" s="14">
        <v>45063</v>
      </c>
      <c r="F481" s="6">
        <v>26</v>
      </c>
      <c r="G481" s="24">
        <v>4.7</v>
      </c>
      <c r="H481">
        <f>IF(MONTH(Table13[[#This Row],[Date of Call]])&lt;6, YEAR(Table13[[#This Row],[Date of Call]]),YEAR(Table13[[#This Row],[Date of Call]])+1)</f>
        <v>2023</v>
      </c>
      <c r="I481" t="str">
        <f>TEXT(Table13[[#This Row],[Date of Call]],"dddd")</f>
        <v>Wednesday</v>
      </c>
      <c r="J4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81">
        <f>ROUND(Table13[[#This Row],[Satisfaction Rating]],0)</f>
        <v>5</v>
      </c>
    </row>
    <row r="482" spans="1:11" x14ac:dyDescent="0.3">
      <c r="A482" s="23" t="s">
        <v>523</v>
      </c>
      <c r="B482" s="6" t="s">
        <v>8</v>
      </c>
      <c r="C482" s="6">
        <v>88</v>
      </c>
      <c r="D482" s="13" t="s">
        <v>31</v>
      </c>
      <c r="E482" s="14">
        <v>45063</v>
      </c>
      <c r="F482" s="6">
        <v>78</v>
      </c>
      <c r="G482" s="24">
        <v>4.3</v>
      </c>
      <c r="H482">
        <f>IF(MONTH(Table13[[#This Row],[Date of Call]])&lt;6, YEAR(Table13[[#This Row],[Date of Call]]),YEAR(Table13[[#This Row],[Date of Call]])+1)</f>
        <v>2023</v>
      </c>
      <c r="I482" t="str">
        <f>TEXT(Table13[[#This Row],[Date of Call]],"dddd")</f>
        <v>Wednesday</v>
      </c>
      <c r="J4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2">
        <f>ROUND(Table13[[#This Row],[Satisfaction Rating]],0)</f>
        <v>4</v>
      </c>
    </row>
    <row r="483" spans="1:11" x14ac:dyDescent="0.3">
      <c r="A483" s="23" t="s">
        <v>524</v>
      </c>
      <c r="B483" s="6" t="s">
        <v>13</v>
      </c>
      <c r="C483" s="6">
        <v>19</v>
      </c>
      <c r="D483" s="13" t="s">
        <v>30</v>
      </c>
      <c r="E483" s="14">
        <v>45064</v>
      </c>
      <c r="F483" s="6">
        <v>132</v>
      </c>
      <c r="G483" s="24">
        <v>4.3</v>
      </c>
      <c r="H483">
        <f>IF(MONTH(Table13[[#This Row],[Date of Call]])&lt;6, YEAR(Table13[[#This Row],[Date of Call]]),YEAR(Table13[[#This Row],[Date of Call]])+1)</f>
        <v>2023</v>
      </c>
      <c r="I483" t="str">
        <f>TEXT(Table13[[#This Row],[Date of Call]],"dddd")</f>
        <v>Thursday</v>
      </c>
      <c r="J4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483">
        <f>ROUND(Table13[[#This Row],[Satisfaction Rating]],0)</f>
        <v>4</v>
      </c>
    </row>
    <row r="484" spans="1:11" x14ac:dyDescent="0.3">
      <c r="A484" s="23" t="s">
        <v>525</v>
      </c>
      <c r="B484" s="6" t="s">
        <v>12</v>
      </c>
      <c r="C484" s="6">
        <v>104</v>
      </c>
      <c r="D484" s="13" t="s">
        <v>30</v>
      </c>
      <c r="E484" s="14">
        <v>45065</v>
      </c>
      <c r="F484" s="6">
        <v>68</v>
      </c>
      <c r="G484" s="24">
        <v>3.7</v>
      </c>
      <c r="H484">
        <f>IF(MONTH(Table13[[#This Row],[Date of Call]])&lt;6, YEAR(Table13[[#This Row],[Date of Call]]),YEAR(Table13[[#This Row],[Date of Call]])+1)</f>
        <v>2023</v>
      </c>
      <c r="I484" t="str">
        <f>TEXT(Table13[[#This Row],[Date of Call]],"dddd")</f>
        <v>Friday</v>
      </c>
      <c r="J4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4">
        <f>ROUND(Table13[[#This Row],[Satisfaction Rating]],0)</f>
        <v>4</v>
      </c>
    </row>
    <row r="485" spans="1:11" x14ac:dyDescent="0.3">
      <c r="A485" s="23" t="s">
        <v>526</v>
      </c>
      <c r="B485" s="6" t="s">
        <v>7</v>
      </c>
      <c r="C485" s="6">
        <v>67</v>
      </c>
      <c r="D485" s="13" t="s">
        <v>28</v>
      </c>
      <c r="E485" s="14">
        <v>45067</v>
      </c>
      <c r="F485" s="6">
        <v>129</v>
      </c>
      <c r="G485" s="24">
        <v>4.7</v>
      </c>
      <c r="H485">
        <f>IF(MONTH(Table13[[#This Row],[Date of Call]])&lt;6, YEAR(Table13[[#This Row],[Date of Call]]),YEAR(Table13[[#This Row],[Date of Call]])+1)</f>
        <v>2023</v>
      </c>
      <c r="I485" t="str">
        <f>TEXT(Table13[[#This Row],[Date of Call]],"dddd")</f>
        <v>Sunday</v>
      </c>
      <c r="J4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5">
        <f>ROUND(Table13[[#This Row],[Satisfaction Rating]],0)</f>
        <v>5</v>
      </c>
    </row>
    <row r="486" spans="1:11" x14ac:dyDescent="0.3">
      <c r="A486" s="23" t="s">
        <v>527</v>
      </c>
      <c r="B486" s="6" t="s">
        <v>15</v>
      </c>
      <c r="C486" s="6">
        <v>107</v>
      </c>
      <c r="D486" s="13" t="s">
        <v>30</v>
      </c>
      <c r="E486" s="14">
        <v>45067</v>
      </c>
      <c r="F486" s="6">
        <v>115</v>
      </c>
      <c r="G486" s="24">
        <v>4.9000000000000004</v>
      </c>
      <c r="H486">
        <f>IF(MONTH(Table13[[#This Row],[Date of Call]])&lt;6, YEAR(Table13[[#This Row],[Date of Call]]),YEAR(Table13[[#This Row],[Date of Call]])+1)</f>
        <v>2023</v>
      </c>
      <c r="I486" t="str">
        <f>TEXT(Table13[[#This Row],[Date of Call]],"dddd")</f>
        <v>Sunday</v>
      </c>
      <c r="J4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6">
        <f>ROUND(Table13[[#This Row],[Satisfaction Rating]],0)</f>
        <v>5</v>
      </c>
    </row>
    <row r="487" spans="1:11" x14ac:dyDescent="0.3">
      <c r="A487" s="23" t="s">
        <v>528</v>
      </c>
      <c r="B487" s="6" t="s">
        <v>15</v>
      </c>
      <c r="C487" s="6">
        <v>93</v>
      </c>
      <c r="D487" s="13" t="s">
        <v>30</v>
      </c>
      <c r="E487" s="14">
        <v>45067</v>
      </c>
      <c r="F487" s="6">
        <v>128</v>
      </c>
      <c r="G487" s="24">
        <v>3.9</v>
      </c>
      <c r="H487">
        <f>IF(MONTH(Table13[[#This Row],[Date of Call]])&lt;6, YEAR(Table13[[#This Row],[Date of Call]]),YEAR(Table13[[#This Row],[Date of Call]])+1)</f>
        <v>2023</v>
      </c>
      <c r="I487" t="str">
        <f>TEXT(Table13[[#This Row],[Date of Call]],"dddd")</f>
        <v>Sunday</v>
      </c>
      <c r="J4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7">
        <f>ROUND(Table13[[#This Row],[Satisfaction Rating]],0)</f>
        <v>4</v>
      </c>
    </row>
    <row r="488" spans="1:11" x14ac:dyDescent="0.3">
      <c r="A488" s="23" t="s">
        <v>529</v>
      </c>
      <c r="B488" s="6" t="s">
        <v>15</v>
      </c>
      <c r="C488" s="6">
        <v>117</v>
      </c>
      <c r="D488" s="13" t="s">
        <v>28</v>
      </c>
      <c r="E488" s="14">
        <v>45067</v>
      </c>
      <c r="F488" s="6">
        <v>90</v>
      </c>
      <c r="G488" s="24">
        <v>4.5</v>
      </c>
      <c r="H488">
        <f>IF(MONTH(Table13[[#This Row],[Date of Call]])&lt;6, YEAR(Table13[[#This Row],[Date of Call]]),YEAR(Table13[[#This Row],[Date of Call]])+1)</f>
        <v>2023</v>
      </c>
      <c r="I488" t="str">
        <f>TEXT(Table13[[#This Row],[Date of Call]],"dddd")</f>
        <v>Sunday</v>
      </c>
      <c r="J4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8">
        <f>ROUND(Table13[[#This Row],[Satisfaction Rating]],0)</f>
        <v>5</v>
      </c>
    </row>
    <row r="489" spans="1:11" x14ac:dyDescent="0.3">
      <c r="A489" s="23" t="s">
        <v>530</v>
      </c>
      <c r="B489" s="6" t="s">
        <v>5</v>
      </c>
      <c r="C489" s="6">
        <v>76</v>
      </c>
      <c r="D489" s="13" t="s">
        <v>31</v>
      </c>
      <c r="E489" s="14">
        <v>45068</v>
      </c>
      <c r="F489" s="6">
        <v>39</v>
      </c>
      <c r="G489" s="24">
        <v>4.5999999999999996</v>
      </c>
      <c r="H489">
        <f>IF(MONTH(Table13[[#This Row],[Date of Call]])&lt;6, YEAR(Table13[[#This Row],[Date of Call]]),YEAR(Table13[[#This Row],[Date of Call]])+1)</f>
        <v>2023</v>
      </c>
      <c r="I489" t="str">
        <f>TEXT(Table13[[#This Row],[Date of Call]],"dddd")</f>
        <v>Monday</v>
      </c>
      <c r="J4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89">
        <f>ROUND(Table13[[#This Row],[Satisfaction Rating]],0)</f>
        <v>5</v>
      </c>
    </row>
    <row r="490" spans="1:11" x14ac:dyDescent="0.3">
      <c r="A490" s="23" t="s">
        <v>531</v>
      </c>
      <c r="B490" s="6" t="s">
        <v>13</v>
      </c>
      <c r="C490" s="6">
        <v>64</v>
      </c>
      <c r="D490" s="13" t="s">
        <v>30</v>
      </c>
      <c r="E490" s="14">
        <v>45068</v>
      </c>
      <c r="F490" s="6">
        <v>132</v>
      </c>
      <c r="G490" s="24">
        <v>3.3</v>
      </c>
      <c r="H490">
        <f>IF(MONTH(Table13[[#This Row],[Date of Call]])&lt;6, YEAR(Table13[[#This Row],[Date of Call]]),YEAR(Table13[[#This Row],[Date of Call]])+1)</f>
        <v>2023</v>
      </c>
      <c r="I490" t="str">
        <f>TEXT(Table13[[#This Row],[Date of Call]],"dddd")</f>
        <v>Monday</v>
      </c>
      <c r="J4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90">
        <f>ROUND(Table13[[#This Row],[Satisfaction Rating]],0)</f>
        <v>3</v>
      </c>
    </row>
    <row r="491" spans="1:11" x14ac:dyDescent="0.3">
      <c r="A491" s="23" t="s">
        <v>532</v>
      </c>
      <c r="B491" s="6" t="s">
        <v>14</v>
      </c>
      <c r="C491" s="6">
        <v>33</v>
      </c>
      <c r="D491" s="13" t="s">
        <v>30</v>
      </c>
      <c r="E491" s="14">
        <v>45068</v>
      </c>
      <c r="F491" s="6">
        <v>170</v>
      </c>
      <c r="G491" s="24">
        <v>3.8</v>
      </c>
      <c r="H491">
        <f>IF(MONTH(Table13[[#This Row],[Date of Call]])&lt;6, YEAR(Table13[[#This Row],[Date of Call]]),YEAR(Table13[[#This Row],[Date of Call]])+1)</f>
        <v>2023</v>
      </c>
      <c r="I491" t="str">
        <f>TEXT(Table13[[#This Row],[Date of Call]],"dddd")</f>
        <v>Monday</v>
      </c>
      <c r="J4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91">
        <f>ROUND(Table13[[#This Row],[Satisfaction Rating]],0)</f>
        <v>4</v>
      </c>
    </row>
    <row r="492" spans="1:11" x14ac:dyDescent="0.3">
      <c r="A492" s="23" t="s">
        <v>533</v>
      </c>
      <c r="B492" s="6" t="s">
        <v>15</v>
      </c>
      <c r="C492" s="6">
        <v>115</v>
      </c>
      <c r="D492" s="13" t="s">
        <v>28</v>
      </c>
      <c r="E492" s="14">
        <v>45068</v>
      </c>
      <c r="F492" s="6">
        <v>42</v>
      </c>
      <c r="G492" s="24">
        <v>4.7</v>
      </c>
      <c r="H492">
        <f>IF(MONTH(Table13[[#This Row],[Date of Call]])&lt;6, YEAR(Table13[[#This Row],[Date of Call]]),YEAR(Table13[[#This Row],[Date of Call]])+1)</f>
        <v>2023</v>
      </c>
      <c r="I492" t="str">
        <f>TEXT(Table13[[#This Row],[Date of Call]],"dddd")</f>
        <v>Monday</v>
      </c>
      <c r="J4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92">
        <f>ROUND(Table13[[#This Row],[Satisfaction Rating]],0)</f>
        <v>5</v>
      </c>
    </row>
    <row r="493" spans="1:11" x14ac:dyDescent="0.3">
      <c r="A493" s="23" t="s">
        <v>534</v>
      </c>
      <c r="B493" s="6" t="s">
        <v>17</v>
      </c>
      <c r="C493" s="6">
        <v>155</v>
      </c>
      <c r="D493" s="13" t="s">
        <v>31</v>
      </c>
      <c r="E493" s="14">
        <v>45069</v>
      </c>
      <c r="F493" s="6">
        <v>37</v>
      </c>
      <c r="G493" s="24">
        <v>4</v>
      </c>
      <c r="H493">
        <f>IF(MONTH(Table13[[#This Row],[Date of Call]])&lt;6, YEAR(Table13[[#This Row],[Date of Call]]),YEAR(Table13[[#This Row],[Date of Call]])+1)</f>
        <v>2023</v>
      </c>
      <c r="I493" t="str">
        <f>TEXT(Table13[[#This Row],[Date of Call]],"dddd")</f>
        <v>Tuesday</v>
      </c>
      <c r="J4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93">
        <f>ROUND(Table13[[#This Row],[Satisfaction Rating]],0)</f>
        <v>4</v>
      </c>
    </row>
    <row r="494" spans="1:11" x14ac:dyDescent="0.3">
      <c r="A494" s="23" t="s">
        <v>535</v>
      </c>
      <c r="B494" s="6" t="s">
        <v>7</v>
      </c>
      <c r="C494" s="6">
        <v>117</v>
      </c>
      <c r="D494" s="13" t="s">
        <v>31</v>
      </c>
      <c r="E494" s="14">
        <v>45069</v>
      </c>
      <c r="F494" s="6">
        <v>88</v>
      </c>
      <c r="G494" s="24">
        <v>4.7</v>
      </c>
      <c r="H494">
        <f>IF(MONTH(Table13[[#This Row],[Date of Call]])&lt;6, YEAR(Table13[[#This Row],[Date of Call]]),YEAR(Table13[[#This Row],[Date of Call]])+1)</f>
        <v>2023</v>
      </c>
      <c r="I494" t="str">
        <f>TEXT(Table13[[#This Row],[Date of Call]],"dddd")</f>
        <v>Tuesday</v>
      </c>
      <c r="J4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94">
        <f>ROUND(Table13[[#This Row],[Satisfaction Rating]],0)</f>
        <v>5</v>
      </c>
    </row>
    <row r="495" spans="1:11" x14ac:dyDescent="0.3">
      <c r="A495" s="23" t="s">
        <v>536</v>
      </c>
      <c r="B495" s="6" t="s">
        <v>11</v>
      </c>
      <c r="C495" s="6">
        <v>63</v>
      </c>
      <c r="D495" s="13" t="s">
        <v>31</v>
      </c>
      <c r="E495" s="14">
        <v>45069</v>
      </c>
      <c r="F495" s="6">
        <v>80</v>
      </c>
      <c r="G495" s="24">
        <v>2.5</v>
      </c>
      <c r="H495">
        <f>IF(MONTH(Table13[[#This Row],[Date of Call]])&lt;6, YEAR(Table13[[#This Row],[Date of Call]]),YEAR(Table13[[#This Row],[Date of Call]])+1)</f>
        <v>2023</v>
      </c>
      <c r="I495" t="str">
        <f>TEXT(Table13[[#This Row],[Date of Call]],"dddd")</f>
        <v>Tuesday</v>
      </c>
      <c r="J4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95">
        <f>ROUND(Table13[[#This Row],[Satisfaction Rating]],0)</f>
        <v>3</v>
      </c>
    </row>
    <row r="496" spans="1:11" x14ac:dyDescent="0.3">
      <c r="A496" s="23" t="s">
        <v>537</v>
      </c>
      <c r="B496" s="6" t="s">
        <v>13</v>
      </c>
      <c r="C496" s="6">
        <v>59</v>
      </c>
      <c r="D496" s="13" t="s">
        <v>32</v>
      </c>
      <c r="E496" s="14">
        <v>45070</v>
      </c>
      <c r="F496" s="6">
        <v>123</v>
      </c>
      <c r="G496" s="24">
        <v>3.6</v>
      </c>
      <c r="H496">
        <f>IF(MONTH(Table13[[#This Row],[Date of Call]])&lt;6, YEAR(Table13[[#This Row],[Date of Call]]),YEAR(Table13[[#This Row],[Date of Call]])+1)</f>
        <v>2023</v>
      </c>
      <c r="I496" t="str">
        <f>TEXT(Table13[[#This Row],[Date of Call]],"dddd")</f>
        <v>Wednesday</v>
      </c>
      <c r="J4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496">
        <f>ROUND(Table13[[#This Row],[Satisfaction Rating]],0)</f>
        <v>4</v>
      </c>
    </row>
    <row r="497" spans="1:11" x14ac:dyDescent="0.3">
      <c r="A497" s="23" t="s">
        <v>538</v>
      </c>
      <c r="B497" s="6" t="s">
        <v>9</v>
      </c>
      <c r="C497" s="6">
        <v>133</v>
      </c>
      <c r="D497" s="13" t="s">
        <v>30</v>
      </c>
      <c r="E497" s="14">
        <v>45070</v>
      </c>
      <c r="F497" s="6">
        <v>31</v>
      </c>
      <c r="G497" s="24">
        <v>3.7</v>
      </c>
      <c r="H497">
        <f>IF(MONTH(Table13[[#This Row],[Date of Call]])&lt;6, YEAR(Table13[[#This Row],[Date of Call]]),YEAR(Table13[[#This Row],[Date of Call]])+1)</f>
        <v>2023</v>
      </c>
      <c r="I497" t="str">
        <f>TEXT(Table13[[#This Row],[Date of Call]],"dddd")</f>
        <v>Wednesday</v>
      </c>
      <c r="J4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97">
        <f>ROUND(Table13[[#This Row],[Satisfaction Rating]],0)</f>
        <v>4</v>
      </c>
    </row>
    <row r="498" spans="1:11" x14ac:dyDescent="0.3">
      <c r="A498" s="23" t="s">
        <v>539</v>
      </c>
      <c r="B498" s="6" t="s">
        <v>4</v>
      </c>
      <c r="C498" s="6">
        <v>101</v>
      </c>
      <c r="D498" s="13" t="s">
        <v>29</v>
      </c>
      <c r="E498" s="14">
        <v>45070</v>
      </c>
      <c r="F498" s="6">
        <v>205</v>
      </c>
      <c r="G498" s="24">
        <v>3.9</v>
      </c>
      <c r="H498">
        <f>IF(MONTH(Table13[[#This Row],[Date of Call]])&lt;6, YEAR(Table13[[#This Row],[Date of Call]]),YEAR(Table13[[#This Row],[Date of Call]])+1)</f>
        <v>2023</v>
      </c>
      <c r="I498" t="str">
        <f>TEXT(Table13[[#This Row],[Date of Call]],"dddd")</f>
        <v>Wednesday</v>
      </c>
      <c r="J4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498">
        <f>ROUND(Table13[[#This Row],[Satisfaction Rating]],0)</f>
        <v>4</v>
      </c>
    </row>
    <row r="499" spans="1:11" x14ac:dyDescent="0.3">
      <c r="A499" s="23" t="s">
        <v>540</v>
      </c>
      <c r="B499" s="6" t="s">
        <v>16</v>
      </c>
      <c r="C499" s="6">
        <v>151</v>
      </c>
      <c r="D499" s="13" t="s">
        <v>31</v>
      </c>
      <c r="E499" s="14">
        <v>45071</v>
      </c>
      <c r="F499" s="6">
        <v>123</v>
      </c>
      <c r="G499" s="24">
        <v>3.7</v>
      </c>
      <c r="H499">
        <f>IF(MONTH(Table13[[#This Row],[Date of Call]])&lt;6, YEAR(Table13[[#This Row],[Date of Call]]),YEAR(Table13[[#This Row],[Date of Call]])+1)</f>
        <v>2023</v>
      </c>
      <c r="I499" t="str">
        <f>TEXT(Table13[[#This Row],[Date of Call]],"dddd")</f>
        <v>Thursday</v>
      </c>
      <c r="J4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499">
        <f>ROUND(Table13[[#This Row],[Satisfaction Rating]],0)</f>
        <v>4</v>
      </c>
    </row>
    <row r="500" spans="1:11" x14ac:dyDescent="0.3">
      <c r="A500" s="23" t="s">
        <v>541</v>
      </c>
      <c r="B500" s="6" t="s">
        <v>14</v>
      </c>
      <c r="C500" s="6">
        <v>146</v>
      </c>
      <c r="D500" s="13" t="s">
        <v>30</v>
      </c>
      <c r="E500" s="14">
        <v>45071</v>
      </c>
      <c r="F500" s="6">
        <v>123</v>
      </c>
      <c r="G500" s="24">
        <v>4.3</v>
      </c>
      <c r="H500">
        <f>IF(MONTH(Table13[[#This Row],[Date of Call]])&lt;6, YEAR(Table13[[#This Row],[Date of Call]]),YEAR(Table13[[#This Row],[Date of Call]])+1)</f>
        <v>2023</v>
      </c>
      <c r="I500" t="str">
        <f>TEXT(Table13[[#This Row],[Date of Call]],"dddd")</f>
        <v>Thursday</v>
      </c>
      <c r="J5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00">
        <f>ROUND(Table13[[#This Row],[Satisfaction Rating]],0)</f>
        <v>4</v>
      </c>
    </row>
    <row r="501" spans="1:11" x14ac:dyDescent="0.3">
      <c r="A501" s="23" t="s">
        <v>542</v>
      </c>
      <c r="B501" s="6" t="s">
        <v>11</v>
      </c>
      <c r="C501" s="6">
        <v>148</v>
      </c>
      <c r="D501" s="13" t="s">
        <v>30</v>
      </c>
      <c r="E501" s="14">
        <v>45071</v>
      </c>
      <c r="F501" s="6">
        <v>36</v>
      </c>
      <c r="G501" s="24">
        <v>2.9</v>
      </c>
      <c r="H501">
        <f>IF(MONTH(Table13[[#This Row],[Date of Call]])&lt;6, YEAR(Table13[[#This Row],[Date of Call]]),YEAR(Table13[[#This Row],[Date of Call]])+1)</f>
        <v>2023</v>
      </c>
      <c r="I501" t="str">
        <f>TEXT(Table13[[#This Row],[Date of Call]],"dddd")</f>
        <v>Thursday</v>
      </c>
      <c r="J5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01">
        <f>ROUND(Table13[[#This Row],[Satisfaction Rating]],0)</f>
        <v>3</v>
      </c>
    </row>
    <row r="502" spans="1:11" x14ac:dyDescent="0.3">
      <c r="A502" s="23" t="s">
        <v>543</v>
      </c>
      <c r="B502" s="6" t="s">
        <v>16</v>
      </c>
      <c r="C502" s="6">
        <v>81</v>
      </c>
      <c r="D502" s="13" t="s">
        <v>30</v>
      </c>
      <c r="E502" s="14">
        <v>45071</v>
      </c>
      <c r="F502" s="6">
        <v>116</v>
      </c>
      <c r="G502" s="24">
        <v>4.3</v>
      </c>
      <c r="H502">
        <f>IF(MONTH(Table13[[#This Row],[Date of Call]])&lt;6, YEAR(Table13[[#This Row],[Date of Call]]),YEAR(Table13[[#This Row],[Date of Call]])+1)</f>
        <v>2023</v>
      </c>
      <c r="I502" t="str">
        <f>TEXT(Table13[[#This Row],[Date of Call]],"dddd")</f>
        <v>Thursday</v>
      </c>
      <c r="J5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02">
        <f>ROUND(Table13[[#This Row],[Satisfaction Rating]],0)</f>
        <v>4</v>
      </c>
    </row>
    <row r="503" spans="1:11" x14ac:dyDescent="0.3">
      <c r="A503" s="23" t="s">
        <v>544</v>
      </c>
      <c r="B503" s="6" t="s">
        <v>12</v>
      </c>
      <c r="C503" s="6">
        <v>115</v>
      </c>
      <c r="D503" s="13" t="s">
        <v>30</v>
      </c>
      <c r="E503" s="14">
        <v>45071</v>
      </c>
      <c r="F503" s="6">
        <v>40</v>
      </c>
      <c r="G503" s="24">
        <v>4.9000000000000004</v>
      </c>
      <c r="H503">
        <f>IF(MONTH(Table13[[#This Row],[Date of Call]])&lt;6, YEAR(Table13[[#This Row],[Date of Call]]),YEAR(Table13[[#This Row],[Date of Call]])+1)</f>
        <v>2023</v>
      </c>
      <c r="I503" t="str">
        <f>TEXT(Table13[[#This Row],[Date of Call]],"dddd")</f>
        <v>Thursday</v>
      </c>
      <c r="J5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03">
        <f>ROUND(Table13[[#This Row],[Satisfaction Rating]],0)</f>
        <v>5</v>
      </c>
    </row>
    <row r="504" spans="1:11" x14ac:dyDescent="0.3">
      <c r="A504" s="23" t="s">
        <v>545</v>
      </c>
      <c r="B504" s="6" t="s">
        <v>12</v>
      </c>
      <c r="C504" s="6">
        <v>117</v>
      </c>
      <c r="D504" s="13" t="s">
        <v>31</v>
      </c>
      <c r="E504" s="14">
        <v>45071</v>
      </c>
      <c r="F504" s="6">
        <v>40</v>
      </c>
      <c r="G504" s="24">
        <v>4</v>
      </c>
      <c r="H504">
        <f>IF(MONTH(Table13[[#This Row],[Date of Call]])&lt;6, YEAR(Table13[[#This Row],[Date of Call]]),YEAR(Table13[[#This Row],[Date of Call]])+1)</f>
        <v>2023</v>
      </c>
      <c r="I504" t="str">
        <f>TEXT(Table13[[#This Row],[Date of Call]],"dddd")</f>
        <v>Thursday</v>
      </c>
      <c r="J5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04">
        <f>ROUND(Table13[[#This Row],[Satisfaction Rating]],0)</f>
        <v>4</v>
      </c>
    </row>
    <row r="505" spans="1:11" x14ac:dyDescent="0.3">
      <c r="A505" s="23" t="s">
        <v>546</v>
      </c>
      <c r="B505" s="6" t="s">
        <v>4</v>
      </c>
      <c r="C505" s="6">
        <v>110</v>
      </c>
      <c r="D505" s="13" t="s">
        <v>28</v>
      </c>
      <c r="E505" s="14">
        <v>45072</v>
      </c>
      <c r="F505" s="6">
        <v>82</v>
      </c>
      <c r="G505" s="24">
        <v>4</v>
      </c>
      <c r="H505">
        <f>IF(MONTH(Table13[[#This Row],[Date of Call]])&lt;6, YEAR(Table13[[#This Row],[Date of Call]]),YEAR(Table13[[#This Row],[Date of Call]])+1)</f>
        <v>2023</v>
      </c>
      <c r="I505" t="str">
        <f>TEXT(Table13[[#This Row],[Date of Call]],"dddd")</f>
        <v>Friday</v>
      </c>
      <c r="J5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05">
        <f>ROUND(Table13[[#This Row],[Satisfaction Rating]],0)</f>
        <v>4</v>
      </c>
    </row>
    <row r="506" spans="1:11" x14ac:dyDescent="0.3">
      <c r="A506" s="23" t="s">
        <v>547</v>
      </c>
      <c r="B506" s="6" t="s">
        <v>5</v>
      </c>
      <c r="C506" s="6">
        <v>103</v>
      </c>
      <c r="D506" s="13" t="s">
        <v>32</v>
      </c>
      <c r="E506" s="14">
        <v>45072</v>
      </c>
      <c r="F506" s="6">
        <v>62</v>
      </c>
      <c r="G506" s="24">
        <v>3.4</v>
      </c>
      <c r="H506">
        <f>IF(MONTH(Table13[[#This Row],[Date of Call]])&lt;6, YEAR(Table13[[#This Row],[Date of Call]]),YEAR(Table13[[#This Row],[Date of Call]])+1)</f>
        <v>2023</v>
      </c>
      <c r="I506" t="str">
        <f>TEXT(Table13[[#This Row],[Date of Call]],"dddd")</f>
        <v>Friday</v>
      </c>
      <c r="J5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06">
        <f>ROUND(Table13[[#This Row],[Satisfaction Rating]],0)</f>
        <v>3</v>
      </c>
    </row>
    <row r="507" spans="1:11" x14ac:dyDescent="0.3">
      <c r="A507" s="23" t="s">
        <v>548</v>
      </c>
      <c r="B507" s="6" t="s">
        <v>17</v>
      </c>
      <c r="C507" s="6">
        <v>45</v>
      </c>
      <c r="D507" s="13" t="s">
        <v>32</v>
      </c>
      <c r="E507" s="14">
        <v>45072</v>
      </c>
      <c r="F507" s="6">
        <v>135</v>
      </c>
      <c r="G507" s="24">
        <v>3.9</v>
      </c>
      <c r="H507">
        <f>IF(MONTH(Table13[[#This Row],[Date of Call]])&lt;6, YEAR(Table13[[#This Row],[Date of Call]]),YEAR(Table13[[#This Row],[Date of Call]])+1)</f>
        <v>2023</v>
      </c>
      <c r="I507" t="str">
        <f>TEXT(Table13[[#This Row],[Date of Call]],"dddd")</f>
        <v>Friday</v>
      </c>
      <c r="J5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07">
        <f>ROUND(Table13[[#This Row],[Satisfaction Rating]],0)</f>
        <v>4</v>
      </c>
    </row>
    <row r="508" spans="1:11" x14ac:dyDescent="0.3">
      <c r="A508" s="23" t="s">
        <v>549</v>
      </c>
      <c r="B508" s="6" t="s">
        <v>4</v>
      </c>
      <c r="C508" s="6">
        <v>110</v>
      </c>
      <c r="D508" s="13" t="s">
        <v>29</v>
      </c>
      <c r="E508" s="14">
        <v>45072</v>
      </c>
      <c r="F508" s="6">
        <v>155</v>
      </c>
      <c r="G508" s="24">
        <v>2.1</v>
      </c>
      <c r="H508">
        <f>IF(MONTH(Table13[[#This Row],[Date of Call]])&lt;6, YEAR(Table13[[#This Row],[Date of Call]]),YEAR(Table13[[#This Row],[Date of Call]])+1)</f>
        <v>2023</v>
      </c>
      <c r="I508" t="str">
        <f>TEXT(Table13[[#This Row],[Date of Call]],"dddd")</f>
        <v>Friday</v>
      </c>
      <c r="J5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08">
        <f>ROUND(Table13[[#This Row],[Satisfaction Rating]],0)</f>
        <v>2</v>
      </c>
    </row>
    <row r="509" spans="1:11" x14ac:dyDescent="0.3">
      <c r="A509" s="23" t="s">
        <v>550</v>
      </c>
      <c r="B509" s="6" t="s">
        <v>13</v>
      </c>
      <c r="C509" s="6">
        <v>43</v>
      </c>
      <c r="D509" s="13" t="s">
        <v>28</v>
      </c>
      <c r="E509" s="14">
        <v>45072</v>
      </c>
      <c r="F509" s="6">
        <v>37</v>
      </c>
      <c r="G509" s="24">
        <v>4.9000000000000004</v>
      </c>
      <c r="H509">
        <f>IF(MONTH(Table13[[#This Row],[Date of Call]])&lt;6, YEAR(Table13[[#This Row],[Date of Call]]),YEAR(Table13[[#This Row],[Date of Call]])+1)</f>
        <v>2023</v>
      </c>
      <c r="I509" t="str">
        <f>TEXT(Table13[[#This Row],[Date of Call]],"dddd")</f>
        <v>Friday</v>
      </c>
      <c r="J5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09">
        <f>ROUND(Table13[[#This Row],[Satisfaction Rating]],0)</f>
        <v>5</v>
      </c>
    </row>
    <row r="510" spans="1:11" x14ac:dyDescent="0.3">
      <c r="A510" s="23" t="s">
        <v>551</v>
      </c>
      <c r="B510" s="6" t="s">
        <v>4</v>
      </c>
      <c r="C510" s="6">
        <v>104</v>
      </c>
      <c r="D510" s="13" t="s">
        <v>31</v>
      </c>
      <c r="E510" s="14">
        <v>45073</v>
      </c>
      <c r="F510" s="6">
        <v>56</v>
      </c>
      <c r="G510" s="24">
        <v>3.4</v>
      </c>
      <c r="H510">
        <f>IF(MONTH(Table13[[#This Row],[Date of Call]])&lt;6, YEAR(Table13[[#This Row],[Date of Call]]),YEAR(Table13[[#This Row],[Date of Call]])+1)</f>
        <v>2023</v>
      </c>
      <c r="I510" t="str">
        <f>TEXT(Table13[[#This Row],[Date of Call]],"dddd")</f>
        <v>Saturday</v>
      </c>
      <c r="J5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10">
        <f>ROUND(Table13[[#This Row],[Satisfaction Rating]],0)</f>
        <v>3</v>
      </c>
    </row>
    <row r="511" spans="1:11" x14ac:dyDescent="0.3">
      <c r="A511" s="23" t="s">
        <v>552</v>
      </c>
      <c r="B511" s="6" t="s">
        <v>4</v>
      </c>
      <c r="C511" s="6">
        <v>101</v>
      </c>
      <c r="D511" s="13" t="s">
        <v>31</v>
      </c>
      <c r="E511" s="14">
        <v>45073</v>
      </c>
      <c r="F511" s="6">
        <v>185</v>
      </c>
      <c r="G511" s="24">
        <v>5</v>
      </c>
      <c r="H511">
        <f>IF(MONTH(Table13[[#This Row],[Date of Call]])&lt;6, YEAR(Table13[[#This Row],[Date of Call]]),YEAR(Table13[[#This Row],[Date of Call]])+1)</f>
        <v>2023</v>
      </c>
      <c r="I511" t="str">
        <f>TEXT(Table13[[#This Row],[Date of Call]],"dddd")</f>
        <v>Saturday</v>
      </c>
      <c r="J5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11">
        <f>ROUND(Table13[[#This Row],[Satisfaction Rating]],0)</f>
        <v>5</v>
      </c>
    </row>
    <row r="512" spans="1:11" x14ac:dyDescent="0.3">
      <c r="A512" s="23" t="s">
        <v>553</v>
      </c>
      <c r="B512" s="6" t="s">
        <v>6</v>
      </c>
      <c r="C512" s="6">
        <v>55</v>
      </c>
      <c r="D512" s="13" t="s">
        <v>28</v>
      </c>
      <c r="E512" s="14">
        <v>45074</v>
      </c>
      <c r="F512" s="6">
        <v>145</v>
      </c>
      <c r="G512" s="24">
        <v>4.5</v>
      </c>
      <c r="H512">
        <f>IF(MONTH(Table13[[#This Row],[Date of Call]])&lt;6, YEAR(Table13[[#This Row],[Date of Call]]),YEAR(Table13[[#This Row],[Date of Call]])+1)</f>
        <v>2023</v>
      </c>
      <c r="I512" t="str">
        <f>TEXT(Table13[[#This Row],[Date of Call]],"dddd")</f>
        <v>Sunday</v>
      </c>
      <c r="J5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12">
        <f>ROUND(Table13[[#This Row],[Satisfaction Rating]],0)</f>
        <v>5</v>
      </c>
    </row>
    <row r="513" spans="1:11" x14ac:dyDescent="0.3">
      <c r="A513" s="23" t="s">
        <v>554</v>
      </c>
      <c r="B513" s="6" t="s">
        <v>16</v>
      </c>
      <c r="C513" s="6">
        <v>40</v>
      </c>
      <c r="D513" s="13" t="s">
        <v>32</v>
      </c>
      <c r="E513" s="14">
        <v>45074</v>
      </c>
      <c r="F513" s="6">
        <v>116</v>
      </c>
      <c r="G513" s="24">
        <v>2.6</v>
      </c>
      <c r="H513">
        <f>IF(MONTH(Table13[[#This Row],[Date of Call]])&lt;6, YEAR(Table13[[#This Row],[Date of Call]]),YEAR(Table13[[#This Row],[Date of Call]])+1)</f>
        <v>2023</v>
      </c>
      <c r="I513" t="str">
        <f>TEXT(Table13[[#This Row],[Date of Call]],"dddd")</f>
        <v>Sunday</v>
      </c>
      <c r="J5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13">
        <f>ROUND(Table13[[#This Row],[Satisfaction Rating]],0)</f>
        <v>3</v>
      </c>
    </row>
    <row r="514" spans="1:11" x14ac:dyDescent="0.3">
      <c r="A514" s="23" t="s">
        <v>555</v>
      </c>
      <c r="B514" s="6" t="s">
        <v>13</v>
      </c>
      <c r="C514" s="6">
        <v>122</v>
      </c>
      <c r="D514" s="13" t="s">
        <v>30</v>
      </c>
      <c r="E514" s="14">
        <v>45074</v>
      </c>
      <c r="F514" s="6">
        <v>45</v>
      </c>
      <c r="G514" s="24">
        <v>4.2</v>
      </c>
      <c r="H514">
        <f>IF(MONTH(Table13[[#This Row],[Date of Call]])&lt;6, YEAR(Table13[[#This Row],[Date of Call]]),YEAR(Table13[[#This Row],[Date of Call]])+1)</f>
        <v>2023</v>
      </c>
      <c r="I514" t="str">
        <f>TEXT(Table13[[#This Row],[Date of Call]],"dddd")</f>
        <v>Sunday</v>
      </c>
      <c r="J5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14">
        <f>ROUND(Table13[[#This Row],[Satisfaction Rating]],0)</f>
        <v>4</v>
      </c>
    </row>
    <row r="515" spans="1:11" x14ac:dyDescent="0.3">
      <c r="A515" s="23" t="s">
        <v>556</v>
      </c>
      <c r="B515" s="6" t="s">
        <v>14</v>
      </c>
      <c r="C515" s="6">
        <v>98</v>
      </c>
      <c r="D515" s="13" t="s">
        <v>31</v>
      </c>
      <c r="E515" s="14">
        <v>45075</v>
      </c>
      <c r="F515" s="6">
        <v>35</v>
      </c>
      <c r="G515" s="24">
        <v>4.5</v>
      </c>
      <c r="H515">
        <f>IF(MONTH(Table13[[#This Row],[Date of Call]])&lt;6, YEAR(Table13[[#This Row],[Date of Call]]),YEAR(Table13[[#This Row],[Date of Call]])+1)</f>
        <v>2023</v>
      </c>
      <c r="I515" t="str">
        <f>TEXT(Table13[[#This Row],[Date of Call]],"dddd")</f>
        <v>Monday</v>
      </c>
      <c r="J5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15">
        <f>ROUND(Table13[[#This Row],[Satisfaction Rating]],0)</f>
        <v>5</v>
      </c>
    </row>
    <row r="516" spans="1:11" x14ac:dyDescent="0.3">
      <c r="A516" s="23" t="s">
        <v>557</v>
      </c>
      <c r="B516" s="6" t="s">
        <v>12</v>
      </c>
      <c r="C516" s="6">
        <v>110</v>
      </c>
      <c r="D516" s="13" t="s">
        <v>32</v>
      </c>
      <c r="E516" s="14">
        <v>45075</v>
      </c>
      <c r="F516" s="6">
        <v>100</v>
      </c>
      <c r="G516" s="24">
        <v>4.4000000000000004</v>
      </c>
      <c r="H516">
        <f>IF(MONTH(Table13[[#This Row],[Date of Call]])&lt;6, YEAR(Table13[[#This Row],[Date of Call]]),YEAR(Table13[[#This Row],[Date of Call]])+1)</f>
        <v>2023</v>
      </c>
      <c r="I516" t="str">
        <f>TEXT(Table13[[#This Row],[Date of Call]],"dddd")</f>
        <v>Monday</v>
      </c>
      <c r="J5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16">
        <f>ROUND(Table13[[#This Row],[Satisfaction Rating]],0)</f>
        <v>4</v>
      </c>
    </row>
    <row r="517" spans="1:11" x14ac:dyDescent="0.3">
      <c r="A517" s="23" t="s">
        <v>558</v>
      </c>
      <c r="B517" s="6" t="s">
        <v>12</v>
      </c>
      <c r="C517" s="6">
        <v>62</v>
      </c>
      <c r="D517" s="13" t="s">
        <v>28</v>
      </c>
      <c r="E517" s="14">
        <v>45076</v>
      </c>
      <c r="F517" s="6">
        <v>125</v>
      </c>
      <c r="G517" s="24">
        <v>3.5</v>
      </c>
      <c r="H517">
        <f>IF(MONTH(Table13[[#This Row],[Date of Call]])&lt;6, YEAR(Table13[[#This Row],[Date of Call]]),YEAR(Table13[[#This Row],[Date of Call]])+1)</f>
        <v>2023</v>
      </c>
      <c r="I517" t="str">
        <f>TEXT(Table13[[#This Row],[Date of Call]],"dddd")</f>
        <v>Tuesday</v>
      </c>
      <c r="J5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17">
        <f>ROUND(Table13[[#This Row],[Satisfaction Rating]],0)</f>
        <v>4</v>
      </c>
    </row>
    <row r="518" spans="1:11" x14ac:dyDescent="0.3">
      <c r="A518" s="23" t="s">
        <v>559</v>
      </c>
      <c r="B518" s="6" t="s">
        <v>13</v>
      </c>
      <c r="C518" s="6">
        <v>134</v>
      </c>
      <c r="D518" s="13" t="s">
        <v>30</v>
      </c>
      <c r="E518" s="14">
        <v>45076</v>
      </c>
      <c r="F518" s="6">
        <v>120</v>
      </c>
      <c r="G518" s="24">
        <v>3</v>
      </c>
      <c r="H518">
        <f>IF(MONTH(Table13[[#This Row],[Date of Call]])&lt;6, YEAR(Table13[[#This Row],[Date of Call]]),YEAR(Table13[[#This Row],[Date of Call]])+1)</f>
        <v>2023</v>
      </c>
      <c r="I518" t="str">
        <f>TEXT(Table13[[#This Row],[Date of Call]],"dddd")</f>
        <v>Tuesday</v>
      </c>
      <c r="J5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18">
        <f>ROUND(Table13[[#This Row],[Satisfaction Rating]],0)</f>
        <v>3</v>
      </c>
    </row>
    <row r="519" spans="1:11" x14ac:dyDescent="0.3">
      <c r="A519" s="23" t="s">
        <v>560</v>
      </c>
      <c r="B519" s="6" t="s">
        <v>18</v>
      </c>
      <c r="C519" s="6">
        <v>94</v>
      </c>
      <c r="D519" s="13" t="s">
        <v>29</v>
      </c>
      <c r="E519" s="14">
        <v>45076</v>
      </c>
      <c r="F519" s="6">
        <v>180</v>
      </c>
      <c r="G519" s="24">
        <v>4.7</v>
      </c>
      <c r="H519">
        <f>IF(MONTH(Table13[[#This Row],[Date of Call]])&lt;6, YEAR(Table13[[#This Row],[Date of Call]]),YEAR(Table13[[#This Row],[Date of Call]])+1)</f>
        <v>2023</v>
      </c>
      <c r="I519" t="str">
        <f>TEXT(Table13[[#This Row],[Date of Call]],"dddd")</f>
        <v>Tuesday</v>
      </c>
      <c r="J5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19">
        <f>ROUND(Table13[[#This Row],[Satisfaction Rating]],0)</f>
        <v>5</v>
      </c>
    </row>
    <row r="520" spans="1:11" x14ac:dyDescent="0.3">
      <c r="A520" s="23" t="s">
        <v>561</v>
      </c>
      <c r="B520" s="6" t="s">
        <v>10</v>
      </c>
      <c r="C520" s="6">
        <v>63</v>
      </c>
      <c r="D520" s="13" t="s">
        <v>32</v>
      </c>
      <c r="E520" s="14">
        <v>45076</v>
      </c>
      <c r="F520" s="6">
        <v>44</v>
      </c>
      <c r="G520" s="24">
        <v>3</v>
      </c>
      <c r="H520">
        <f>IF(MONTH(Table13[[#This Row],[Date of Call]])&lt;6, YEAR(Table13[[#This Row],[Date of Call]]),YEAR(Table13[[#This Row],[Date of Call]])+1)</f>
        <v>2023</v>
      </c>
      <c r="I520" t="str">
        <f>TEXT(Table13[[#This Row],[Date of Call]],"dddd")</f>
        <v>Tuesday</v>
      </c>
      <c r="J5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20">
        <f>ROUND(Table13[[#This Row],[Satisfaction Rating]],0)</f>
        <v>3</v>
      </c>
    </row>
    <row r="521" spans="1:11" x14ac:dyDescent="0.3">
      <c r="A521" s="23" t="s">
        <v>562</v>
      </c>
      <c r="B521" s="6" t="s">
        <v>9</v>
      </c>
      <c r="C521" s="6">
        <v>95</v>
      </c>
      <c r="D521" s="13" t="s">
        <v>30</v>
      </c>
      <c r="E521" s="14">
        <v>45076</v>
      </c>
      <c r="F521" s="6">
        <v>86</v>
      </c>
      <c r="G521" s="24">
        <v>3.6</v>
      </c>
      <c r="H521">
        <f>IF(MONTH(Table13[[#This Row],[Date of Call]])&lt;6, YEAR(Table13[[#This Row],[Date of Call]]),YEAR(Table13[[#This Row],[Date of Call]])+1)</f>
        <v>2023</v>
      </c>
      <c r="I521" t="str">
        <f>TEXT(Table13[[#This Row],[Date of Call]],"dddd")</f>
        <v>Tuesday</v>
      </c>
      <c r="J5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21">
        <f>ROUND(Table13[[#This Row],[Satisfaction Rating]],0)</f>
        <v>4</v>
      </c>
    </row>
    <row r="522" spans="1:11" x14ac:dyDescent="0.3">
      <c r="A522" s="23" t="s">
        <v>563</v>
      </c>
      <c r="B522" s="6" t="s">
        <v>13</v>
      </c>
      <c r="C522" s="6">
        <v>106</v>
      </c>
      <c r="D522" s="13" t="s">
        <v>30</v>
      </c>
      <c r="E522" s="14">
        <v>45077</v>
      </c>
      <c r="F522" s="6">
        <v>120</v>
      </c>
      <c r="G522" s="24">
        <v>4.0999999999999996</v>
      </c>
      <c r="H522">
        <f>IF(MONTH(Table13[[#This Row],[Date of Call]])&lt;6, YEAR(Table13[[#This Row],[Date of Call]]),YEAR(Table13[[#This Row],[Date of Call]])+1)</f>
        <v>2023</v>
      </c>
      <c r="I522" t="str">
        <f>TEXT(Table13[[#This Row],[Date of Call]],"dddd")</f>
        <v>Wednesday</v>
      </c>
      <c r="J5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22">
        <f>ROUND(Table13[[#This Row],[Satisfaction Rating]],0)</f>
        <v>4</v>
      </c>
    </row>
    <row r="523" spans="1:11" x14ac:dyDescent="0.3">
      <c r="A523" s="23" t="s">
        <v>564</v>
      </c>
      <c r="B523" s="6" t="s">
        <v>17</v>
      </c>
      <c r="C523" s="6">
        <v>94</v>
      </c>
      <c r="D523" s="13" t="s">
        <v>29</v>
      </c>
      <c r="E523" s="14">
        <v>45077</v>
      </c>
      <c r="F523" s="6">
        <v>100</v>
      </c>
      <c r="G523" s="24">
        <v>3.7</v>
      </c>
      <c r="H523">
        <f>IF(MONTH(Table13[[#This Row],[Date of Call]])&lt;6, YEAR(Table13[[#This Row],[Date of Call]]),YEAR(Table13[[#This Row],[Date of Call]])+1)</f>
        <v>2023</v>
      </c>
      <c r="I523" t="str">
        <f>TEXT(Table13[[#This Row],[Date of Call]],"dddd")</f>
        <v>Wednesday</v>
      </c>
      <c r="J5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23">
        <f>ROUND(Table13[[#This Row],[Satisfaction Rating]],0)</f>
        <v>4</v>
      </c>
    </row>
    <row r="524" spans="1:11" x14ac:dyDescent="0.3">
      <c r="A524" s="23" t="s">
        <v>565</v>
      </c>
      <c r="B524" s="6" t="s">
        <v>17</v>
      </c>
      <c r="C524" s="6">
        <v>51</v>
      </c>
      <c r="D524" s="13" t="s">
        <v>29</v>
      </c>
      <c r="E524" s="14">
        <v>45078</v>
      </c>
      <c r="F524" s="6">
        <v>108</v>
      </c>
      <c r="G524" s="24">
        <v>4.5</v>
      </c>
      <c r="H524">
        <f>IF(MONTH(Table13[[#This Row],[Date of Call]])&lt;6, YEAR(Table13[[#This Row],[Date of Call]]),YEAR(Table13[[#This Row],[Date of Call]])+1)</f>
        <v>2024</v>
      </c>
      <c r="I524" t="str">
        <f>TEXT(Table13[[#This Row],[Date of Call]],"dddd")</f>
        <v>Thursday</v>
      </c>
      <c r="J5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24">
        <f>ROUND(Table13[[#This Row],[Satisfaction Rating]],0)</f>
        <v>5</v>
      </c>
    </row>
    <row r="525" spans="1:11" x14ac:dyDescent="0.3">
      <c r="A525" s="23" t="s">
        <v>566</v>
      </c>
      <c r="B525" s="6" t="s">
        <v>11</v>
      </c>
      <c r="C525" s="6">
        <v>39</v>
      </c>
      <c r="D525" s="13" t="s">
        <v>29</v>
      </c>
      <c r="E525" s="14">
        <v>45078</v>
      </c>
      <c r="F525" s="6">
        <v>46</v>
      </c>
      <c r="G525" s="24">
        <v>4.5999999999999996</v>
      </c>
      <c r="H525">
        <f>IF(MONTH(Table13[[#This Row],[Date of Call]])&lt;6, YEAR(Table13[[#This Row],[Date of Call]]),YEAR(Table13[[#This Row],[Date of Call]])+1)</f>
        <v>2024</v>
      </c>
      <c r="I525" t="str">
        <f>TEXT(Table13[[#This Row],[Date of Call]],"dddd")</f>
        <v>Thursday</v>
      </c>
      <c r="J5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25">
        <f>ROUND(Table13[[#This Row],[Satisfaction Rating]],0)</f>
        <v>5</v>
      </c>
    </row>
    <row r="526" spans="1:11" x14ac:dyDescent="0.3">
      <c r="A526" s="23" t="s">
        <v>567</v>
      </c>
      <c r="B526" s="6" t="s">
        <v>16</v>
      </c>
      <c r="C526" s="6">
        <v>111</v>
      </c>
      <c r="D526" s="13" t="s">
        <v>30</v>
      </c>
      <c r="E526" s="14">
        <v>45078</v>
      </c>
      <c r="F526" s="6">
        <v>210</v>
      </c>
      <c r="G526" s="24">
        <v>4.3</v>
      </c>
      <c r="H526">
        <f>IF(MONTH(Table13[[#This Row],[Date of Call]])&lt;6, YEAR(Table13[[#This Row],[Date of Call]]),YEAR(Table13[[#This Row],[Date of Call]])+1)</f>
        <v>2024</v>
      </c>
      <c r="I526" t="str">
        <f>TEXT(Table13[[#This Row],[Date of Call]],"dddd")</f>
        <v>Thursday</v>
      </c>
      <c r="J5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26">
        <f>ROUND(Table13[[#This Row],[Satisfaction Rating]],0)</f>
        <v>4</v>
      </c>
    </row>
    <row r="527" spans="1:11" x14ac:dyDescent="0.3">
      <c r="A527" s="23" t="s">
        <v>568</v>
      </c>
      <c r="B527" s="6" t="s">
        <v>15</v>
      </c>
      <c r="C527" s="6">
        <v>141</v>
      </c>
      <c r="D527" s="13" t="s">
        <v>28</v>
      </c>
      <c r="E527" s="14">
        <v>45080</v>
      </c>
      <c r="F527" s="6">
        <v>54</v>
      </c>
      <c r="G527" s="24">
        <v>4.8</v>
      </c>
      <c r="H527">
        <f>IF(MONTH(Table13[[#This Row],[Date of Call]])&lt;6, YEAR(Table13[[#This Row],[Date of Call]]),YEAR(Table13[[#This Row],[Date of Call]])+1)</f>
        <v>2024</v>
      </c>
      <c r="I527" t="str">
        <f>TEXT(Table13[[#This Row],[Date of Call]],"dddd")</f>
        <v>Saturday</v>
      </c>
      <c r="J5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27">
        <f>ROUND(Table13[[#This Row],[Satisfaction Rating]],0)</f>
        <v>5</v>
      </c>
    </row>
    <row r="528" spans="1:11" x14ac:dyDescent="0.3">
      <c r="A528" s="23" t="s">
        <v>569</v>
      </c>
      <c r="B528" s="6" t="s">
        <v>10</v>
      </c>
      <c r="C528" s="6">
        <v>147</v>
      </c>
      <c r="D528" s="13" t="s">
        <v>30</v>
      </c>
      <c r="E528" s="14">
        <v>45080</v>
      </c>
      <c r="F528" s="6">
        <v>115</v>
      </c>
      <c r="G528" s="24">
        <v>4.7</v>
      </c>
      <c r="H528">
        <f>IF(MONTH(Table13[[#This Row],[Date of Call]])&lt;6, YEAR(Table13[[#This Row],[Date of Call]]),YEAR(Table13[[#This Row],[Date of Call]])+1)</f>
        <v>2024</v>
      </c>
      <c r="I528" t="str">
        <f>TEXT(Table13[[#This Row],[Date of Call]],"dddd")</f>
        <v>Saturday</v>
      </c>
      <c r="J5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28">
        <f>ROUND(Table13[[#This Row],[Satisfaction Rating]],0)</f>
        <v>5</v>
      </c>
    </row>
    <row r="529" spans="1:11" x14ac:dyDescent="0.3">
      <c r="A529" s="23" t="s">
        <v>570</v>
      </c>
      <c r="B529" s="6" t="s">
        <v>18</v>
      </c>
      <c r="C529" s="6">
        <v>49</v>
      </c>
      <c r="D529" s="13" t="s">
        <v>29</v>
      </c>
      <c r="E529" s="14">
        <v>45081</v>
      </c>
      <c r="F529" s="6">
        <v>100</v>
      </c>
      <c r="G529" s="24">
        <v>2.2000000000000002</v>
      </c>
      <c r="H529">
        <f>IF(MONTH(Table13[[#This Row],[Date of Call]])&lt;6, YEAR(Table13[[#This Row],[Date of Call]]),YEAR(Table13[[#This Row],[Date of Call]])+1)</f>
        <v>2024</v>
      </c>
      <c r="I529" t="str">
        <f>TEXT(Table13[[#This Row],[Date of Call]],"dddd")</f>
        <v>Sunday</v>
      </c>
      <c r="J5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29">
        <f>ROUND(Table13[[#This Row],[Satisfaction Rating]],0)</f>
        <v>2</v>
      </c>
    </row>
    <row r="530" spans="1:11" x14ac:dyDescent="0.3">
      <c r="A530" s="23" t="s">
        <v>571</v>
      </c>
      <c r="B530" s="6" t="s">
        <v>8</v>
      </c>
      <c r="C530" s="6">
        <v>75</v>
      </c>
      <c r="D530" s="13" t="s">
        <v>30</v>
      </c>
      <c r="E530" s="14">
        <v>45081</v>
      </c>
      <c r="F530" s="6">
        <v>38</v>
      </c>
      <c r="G530" s="24">
        <v>4.4000000000000004</v>
      </c>
      <c r="H530">
        <f>IF(MONTH(Table13[[#This Row],[Date of Call]])&lt;6, YEAR(Table13[[#This Row],[Date of Call]]),YEAR(Table13[[#This Row],[Date of Call]])+1)</f>
        <v>2024</v>
      </c>
      <c r="I530" t="str">
        <f>TEXT(Table13[[#This Row],[Date of Call]],"dddd")</f>
        <v>Sunday</v>
      </c>
      <c r="J5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30">
        <f>ROUND(Table13[[#This Row],[Satisfaction Rating]],0)</f>
        <v>4</v>
      </c>
    </row>
    <row r="531" spans="1:11" x14ac:dyDescent="0.3">
      <c r="A531" s="23" t="s">
        <v>572</v>
      </c>
      <c r="B531" s="6" t="s">
        <v>15</v>
      </c>
      <c r="C531" s="6">
        <v>48</v>
      </c>
      <c r="D531" s="13" t="s">
        <v>28</v>
      </c>
      <c r="E531" s="14">
        <v>45082</v>
      </c>
      <c r="F531" s="6">
        <v>120</v>
      </c>
      <c r="G531" s="24">
        <v>4.0999999999999996</v>
      </c>
      <c r="H531">
        <f>IF(MONTH(Table13[[#This Row],[Date of Call]])&lt;6, YEAR(Table13[[#This Row],[Date of Call]]),YEAR(Table13[[#This Row],[Date of Call]])+1)</f>
        <v>2024</v>
      </c>
      <c r="I531" t="str">
        <f>TEXT(Table13[[#This Row],[Date of Call]],"dddd")</f>
        <v>Monday</v>
      </c>
      <c r="J5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31">
        <f>ROUND(Table13[[#This Row],[Satisfaction Rating]],0)</f>
        <v>4</v>
      </c>
    </row>
    <row r="532" spans="1:11" x14ac:dyDescent="0.3">
      <c r="A532" s="23" t="s">
        <v>573</v>
      </c>
      <c r="B532" s="6" t="s">
        <v>12</v>
      </c>
      <c r="C532" s="6">
        <v>48</v>
      </c>
      <c r="D532" s="13" t="s">
        <v>28</v>
      </c>
      <c r="E532" s="14">
        <v>45082</v>
      </c>
      <c r="F532" s="6">
        <v>120</v>
      </c>
      <c r="G532" s="24">
        <v>4.0999999999999996</v>
      </c>
      <c r="H532">
        <f>IF(MONTH(Table13[[#This Row],[Date of Call]])&lt;6, YEAR(Table13[[#This Row],[Date of Call]]),YEAR(Table13[[#This Row],[Date of Call]])+1)</f>
        <v>2024</v>
      </c>
      <c r="I532" t="str">
        <f>TEXT(Table13[[#This Row],[Date of Call]],"dddd")</f>
        <v>Monday</v>
      </c>
      <c r="J5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32">
        <f>ROUND(Table13[[#This Row],[Satisfaction Rating]],0)</f>
        <v>4</v>
      </c>
    </row>
    <row r="533" spans="1:11" x14ac:dyDescent="0.3">
      <c r="A533" s="23" t="s">
        <v>574</v>
      </c>
      <c r="B533" s="6" t="s">
        <v>7</v>
      </c>
      <c r="C533" s="6">
        <v>138</v>
      </c>
      <c r="D533" s="13" t="s">
        <v>29</v>
      </c>
      <c r="E533" s="14">
        <v>45082</v>
      </c>
      <c r="F533" s="6">
        <v>29</v>
      </c>
      <c r="G533" s="24">
        <v>4.4000000000000004</v>
      </c>
      <c r="H533">
        <f>IF(MONTH(Table13[[#This Row],[Date of Call]])&lt;6, YEAR(Table13[[#This Row],[Date of Call]]),YEAR(Table13[[#This Row],[Date of Call]])+1)</f>
        <v>2024</v>
      </c>
      <c r="I533" t="str">
        <f>TEXT(Table13[[#This Row],[Date of Call]],"dddd")</f>
        <v>Monday</v>
      </c>
      <c r="J5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33">
        <f>ROUND(Table13[[#This Row],[Satisfaction Rating]],0)</f>
        <v>4</v>
      </c>
    </row>
    <row r="534" spans="1:11" x14ac:dyDescent="0.3">
      <c r="A534" s="23" t="s">
        <v>575</v>
      </c>
      <c r="B534" s="6" t="s">
        <v>9</v>
      </c>
      <c r="C534" s="6">
        <v>144</v>
      </c>
      <c r="D534" s="13" t="s">
        <v>29</v>
      </c>
      <c r="E534" s="14">
        <v>45083</v>
      </c>
      <c r="F534" s="6">
        <v>25</v>
      </c>
      <c r="G534" s="24">
        <v>3.7</v>
      </c>
      <c r="H534">
        <f>IF(MONTH(Table13[[#This Row],[Date of Call]])&lt;6, YEAR(Table13[[#This Row],[Date of Call]]),YEAR(Table13[[#This Row],[Date of Call]])+1)</f>
        <v>2024</v>
      </c>
      <c r="I534" t="str">
        <f>TEXT(Table13[[#This Row],[Date of Call]],"dddd")</f>
        <v>Tuesday</v>
      </c>
      <c r="J5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34">
        <f>ROUND(Table13[[#This Row],[Satisfaction Rating]],0)</f>
        <v>4</v>
      </c>
    </row>
    <row r="535" spans="1:11" x14ac:dyDescent="0.3">
      <c r="A535" s="23" t="s">
        <v>576</v>
      </c>
      <c r="B535" s="6" t="s">
        <v>4</v>
      </c>
      <c r="C535" s="6">
        <v>119</v>
      </c>
      <c r="D535" s="13" t="s">
        <v>30</v>
      </c>
      <c r="E535" s="14">
        <v>45084</v>
      </c>
      <c r="F535" s="6">
        <v>116</v>
      </c>
      <c r="G535" s="24">
        <v>3.8</v>
      </c>
      <c r="H535">
        <f>IF(MONTH(Table13[[#This Row],[Date of Call]])&lt;6, YEAR(Table13[[#This Row],[Date of Call]]),YEAR(Table13[[#This Row],[Date of Call]])+1)</f>
        <v>2024</v>
      </c>
      <c r="I535" t="str">
        <f>TEXT(Table13[[#This Row],[Date of Call]],"dddd")</f>
        <v>Wednesday</v>
      </c>
      <c r="J5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35">
        <f>ROUND(Table13[[#This Row],[Satisfaction Rating]],0)</f>
        <v>4</v>
      </c>
    </row>
    <row r="536" spans="1:11" x14ac:dyDescent="0.3">
      <c r="A536" s="23" t="s">
        <v>577</v>
      </c>
      <c r="B536" s="6" t="s">
        <v>7</v>
      </c>
      <c r="C536" s="6">
        <v>101</v>
      </c>
      <c r="D536" s="13" t="s">
        <v>28</v>
      </c>
      <c r="E536" s="14">
        <v>45085</v>
      </c>
      <c r="F536" s="6">
        <v>132</v>
      </c>
      <c r="G536" s="24">
        <v>4.3</v>
      </c>
      <c r="H536">
        <f>IF(MONTH(Table13[[#This Row],[Date of Call]])&lt;6, YEAR(Table13[[#This Row],[Date of Call]]),YEAR(Table13[[#This Row],[Date of Call]])+1)</f>
        <v>2024</v>
      </c>
      <c r="I536" t="str">
        <f>TEXT(Table13[[#This Row],[Date of Call]],"dddd")</f>
        <v>Thursday</v>
      </c>
      <c r="J5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36">
        <f>ROUND(Table13[[#This Row],[Satisfaction Rating]],0)</f>
        <v>4</v>
      </c>
    </row>
    <row r="537" spans="1:11" x14ac:dyDescent="0.3">
      <c r="A537" s="23" t="s">
        <v>578</v>
      </c>
      <c r="B537" s="6" t="s">
        <v>9</v>
      </c>
      <c r="C537" s="6">
        <v>59</v>
      </c>
      <c r="D537" s="13" t="s">
        <v>30</v>
      </c>
      <c r="E537" s="14">
        <v>45086</v>
      </c>
      <c r="F537" s="6">
        <v>90</v>
      </c>
      <c r="G537" s="24">
        <v>3.5</v>
      </c>
      <c r="H537">
        <f>IF(MONTH(Table13[[#This Row],[Date of Call]])&lt;6, YEAR(Table13[[#This Row],[Date of Call]]),YEAR(Table13[[#This Row],[Date of Call]])+1)</f>
        <v>2024</v>
      </c>
      <c r="I537" t="str">
        <f>TEXT(Table13[[#This Row],[Date of Call]],"dddd")</f>
        <v>Friday</v>
      </c>
      <c r="J5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37">
        <f>ROUND(Table13[[#This Row],[Satisfaction Rating]],0)</f>
        <v>4</v>
      </c>
    </row>
    <row r="538" spans="1:11" x14ac:dyDescent="0.3">
      <c r="A538" s="23" t="s">
        <v>579</v>
      </c>
      <c r="B538" s="6" t="s">
        <v>16</v>
      </c>
      <c r="C538" s="6">
        <v>125</v>
      </c>
      <c r="D538" s="13" t="s">
        <v>32</v>
      </c>
      <c r="E538" s="14">
        <v>45086</v>
      </c>
      <c r="F538" s="6">
        <v>87</v>
      </c>
      <c r="G538" s="24">
        <v>4.0999999999999996</v>
      </c>
      <c r="H538">
        <f>IF(MONTH(Table13[[#This Row],[Date of Call]])&lt;6, YEAR(Table13[[#This Row],[Date of Call]]),YEAR(Table13[[#This Row],[Date of Call]])+1)</f>
        <v>2024</v>
      </c>
      <c r="I538" t="str">
        <f>TEXT(Table13[[#This Row],[Date of Call]],"dddd")</f>
        <v>Friday</v>
      </c>
      <c r="J5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38">
        <f>ROUND(Table13[[#This Row],[Satisfaction Rating]],0)</f>
        <v>4</v>
      </c>
    </row>
    <row r="539" spans="1:11" x14ac:dyDescent="0.3">
      <c r="A539" s="23" t="s">
        <v>580</v>
      </c>
      <c r="B539" s="6" t="s">
        <v>13</v>
      </c>
      <c r="C539" s="6">
        <v>147</v>
      </c>
      <c r="D539" s="13" t="s">
        <v>30</v>
      </c>
      <c r="E539" s="14">
        <v>45086</v>
      </c>
      <c r="F539" s="6">
        <v>140</v>
      </c>
      <c r="G539" s="24">
        <v>4.2</v>
      </c>
      <c r="H539">
        <f>IF(MONTH(Table13[[#This Row],[Date of Call]])&lt;6, YEAR(Table13[[#This Row],[Date of Call]]),YEAR(Table13[[#This Row],[Date of Call]])+1)</f>
        <v>2024</v>
      </c>
      <c r="I539" t="str">
        <f>TEXT(Table13[[#This Row],[Date of Call]],"dddd")</f>
        <v>Friday</v>
      </c>
      <c r="J5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39">
        <f>ROUND(Table13[[#This Row],[Satisfaction Rating]],0)</f>
        <v>4</v>
      </c>
    </row>
    <row r="540" spans="1:11" x14ac:dyDescent="0.3">
      <c r="A540" s="23" t="s">
        <v>581</v>
      </c>
      <c r="B540" s="6" t="s">
        <v>5</v>
      </c>
      <c r="C540" s="6">
        <v>76</v>
      </c>
      <c r="D540" s="13" t="s">
        <v>30</v>
      </c>
      <c r="E540" s="14">
        <v>45086</v>
      </c>
      <c r="F540" s="6">
        <v>164</v>
      </c>
      <c r="G540" s="24">
        <v>4.5</v>
      </c>
      <c r="H540">
        <f>IF(MONTH(Table13[[#This Row],[Date of Call]])&lt;6, YEAR(Table13[[#This Row],[Date of Call]]),YEAR(Table13[[#This Row],[Date of Call]])+1)</f>
        <v>2024</v>
      </c>
      <c r="I540" t="str">
        <f>TEXT(Table13[[#This Row],[Date of Call]],"dddd")</f>
        <v>Friday</v>
      </c>
      <c r="J5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40">
        <f>ROUND(Table13[[#This Row],[Satisfaction Rating]],0)</f>
        <v>5</v>
      </c>
    </row>
    <row r="541" spans="1:11" x14ac:dyDescent="0.3">
      <c r="A541" s="23" t="s">
        <v>582</v>
      </c>
      <c r="B541" s="6" t="s">
        <v>10</v>
      </c>
      <c r="C541" s="6">
        <v>99</v>
      </c>
      <c r="D541" s="13" t="s">
        <v>28</v>
      </c>
      <c r="E541" s="14">
        <v>45087</v>
      </c>
      <c r="F541" s="6">
        <v>180</v>
      </c>
      <c r="G541" s="24">
        <v>3.8</v>
      </c>
      <c r="H541">
        <f>IF(MONTH(Table13[[#This Row],[Date of Call]])&lt;6, YEAR(Table13[[#This Row],[Date of Call]]),YEAR(Table13[[#This Row],[Date of Call]])+1)</f>
        <v>2024</v>
      </c>
      <c r="I541" t="str">
        <f>TEXT(Table13[[#This Row],[Date of Call]],"dddd")</f>
        <v>Saturday</v>
      </c>
      <c r="J5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41">
        <f>ROUND(Table13[[#This Row],[Satisfaction Rating]],0)</f>
        <v>4</v>
      </c>
    </row>
    <row r="542" spans="1:11" x14ac:dyDescent="0.3">
      <c r="A542" s="23" t="s">
        <v>583</v>
      </c>
      <c r="B542" s="6" t="s">
        <v>11</v>
      </c>
      <c r="C542" s="6">
        <v>111</v>
      </c>
      <c r="D542" s="13" t="s">
        <v>31</v>
      </c>
      <c r="E542" s="14">
        <v>45088</v>
      </c>
      <c r="F542" s="6">
        <v>22</v>
      </c>
      <c r="G542" s="24">
        <v>4.0999999999999996</v>
      </c>
      <c r="H542">
        <f>IF(MONTH(Table13[[#This Row],[Date of Call]])&lt;6, YEAR(Table13[[#This Row],[Date of Call]]),YEAR(Table13[[#This Row],[Date of Call]])+1)</f>
        <v>2024</v>
      </c>
      <c r="I542" t="str">
        <f>TEXT(Table13[[#This Row],[Date of Call]],"dddd")</f>
        <v>Sunday</v>
      </c>
      <c r="J5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42">
        <f>ROUND(Table13[[#This Row],[Satisfaction Rating]],0)</f>
        <v>4</v>
      </c>
    </row>
    <row r="543" spans="1:11" x14ac:dyDescent="0.3">
      <c r="A543" s="23" t="s">
        <v>584</v>
      </c>
      <c r="B543" s="6" t="s">
        <v>14</v>
      </c>
      <c r="C543" s="6">
        <v>147</v>
      </c>
      <c r="D543" s="13" t="s">
        <v>32</v>
      </c>
      <c r="E543" s="14">
        <v>45088</v>
      </c>
      <c r="F543" s="6">
        <v>82</v>
      </c>
      <c r="G543" s="24">
        <v>4.4000000000000004</v>
      </c>
      <c r="H543">
        <f>IF(MONTH(Table13[[#This Row],[Date of Call]])&lt;6, YEAR(Table13[[#This Row],[Date of Call]]),YEAR(Table13[[#This Row],[Date of Call]])+1)</f>
        <v>2024</v>
      </c>
      <c r="I543" t="str">
        <f>TEXT(Table13[[#This Row],[Date of Call]],"dddd")</f>
        <v>Sunday</v>
      </c>
      <c r="J5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43">
        <f>ROUND(Table13[[#This Row],[Satisfaction Rating]],0)</f>
        <v>4</v>
      </c>
    </row>
    <row r="544" spans="1:11" x14ac:dyDescent="0.3">
      <c r="A544" s="23" t="s">
        <v>585</v>
      </c>
      <c r="B544" s="6" t="s">
        <v>6</v>
      </c>
      <c r="C544" s="6">
        <v>141</v>
      </c>
      <c r="D544" s="13" t="s">
        <v>28</v>
      </c>
      <c r="E544" s="14">
        <v>45088</v>
      </c>
      <c r="F544" s="6">
        <v>100</v>
      </c>
      <c r="G544" s="24">
        <v>4.5999999999999996</v>
      </c>
      <c r="H544">
        <f>IF(MONTH(Table13[[#This Row],[Date of Call]])&lt;6, YEAR(Table13[[#This Row],[Date of Call]]),YEAR(Table13[[#This Row],[Date of Call]])+1)</f>
        <v>2024</v>
      </c>
      <c r="I544" t="str">
        <f>TEXT(Table13[[#This Row],[Date of Call]],"dddd")</f>
        <v>Sunday</v>
      </c>
      <c r="J5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44">
        <f>ROUND(Table13[[#This Row],[Satisfaction Rating]],0)</f>
        <v>5</v>
      </c>
    </row>
    <row r="545" spans="1:11" x14ac:dyDescent="0.3">
      <c r="A545" s="23" t="s">
        <v>586</v>
      </c>
      <c r="B545" s="6" t="s">
        <v>5</v>
      </c>
      <c r="C545" s="6">
        <v>71</v>
      </c>
      <c r="D545" s="13" t="s">
        <v>30</v>
      </c>
      <c r="E545" s="14">
        <v>45089</v>
      </c>
      <c r="F545" s="6">
        <v>52</v>
      </c>
      <c r="G545" s="24">
        <v>3.4</v>
      </c>
      <c r="H545">
        <f>IF(MONTH(Table13[[#This Row],[Date of Call]])&lt;6, YEAR(Table13[[#This Row],[Date of Call]]),YEAR(Table13[[#This Row],[Date of Call]])+1)</f>
        <v>2024</v>
      </c>
      <c r="I545" t="str">
        <f>TEXT(Table13[[#This Row],[Date of Call]],"dddd")</f>
        <v>Monday</v>
      </c>
      <c r="J5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45">
        <f>ROUND(Table13[[#This Row],[Satisfaction Rating]],0)</f>
        <v>3</v>
      </c>
    </row>
    <row r="546" spans="1:11" x14ac:dyDescent="0.3">
      <c r="A546" s="23" t="s">
        <v>587</v>
      </c>
      <c r="B546" s="6" t="s">
        <v>5</v>
      </c>
      <c r="C546" s="6">
        <v>121</v>
      </c>
      <c r="D546" s="13" t="s">
        <v>32</v>
      </c>
      <c r="E546" s="14">
        <v>45090</v>
      </c>
      <c r="F546" s="6">
        <v>84</v>
      </c>
      <c r="G546" s="24">
        <v>4.5999999999999996</v>
      </c>
      <c r="H546">
        <f>IF(MONTH(Table13[[#This Row],[Date of Call]])&lt;6, YEAR(Table13[[#This Row],[Date of Call]]),YEAR(Table13[[#This Row],[Date of Call]])+1)</f>
        <v>2024</v>
      </c>
      <c r="I546" t="str">
        <f>TEXT(Table13[[#This Row],[Date of Call]],"dddd")</f>
        <v>Tuesday</v>
      </c>
      <c r="J5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46">
        <f>ROUND(Table13[[#This Row],[Satisfaction Rating]],0)</f>
        <v>5</v>
      </c>
    </row>
    <row r="547" spans="1:11" x14ac:dyDescent="0.3">
      <c r="A547" s="23" t="s">
        <v>588</v>
      </c>
      <c r="B547" s="6" t="s">
        <v>5</v>
      </c>
      <c r="C547" s="6">
        <v>60</v>
      </c>
      <c r="D547" s="13" t="s">
        <v>32</v>
      </c>
      <c r="E547" s="14">
        <v>45090</v>
      </c>
      <c r="F547" s="6">
        <v>37</v>
      </c>
      <c r="G547" s="24">
        <v>3.9</v>
      </c>
      <c r="H547">
        <f>IF(MONTH(Table13[[#This Row],[Date of Call]])&lt;6, YEAR(Table13[[#This Row],[Date of Call]]),YEAR(Table13[[#This Row],[Date of Call]])+1)</f>
        <v>2024</v>
      </c>
      <c r="I547" t="str">
        <f>TEXT(Table13[[#This Row],[Date of Call]],"dddd")</f>
        <v>Tuesday</v>
      </c>
      <c r="J5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47">
        <f>ROUND(Table13[[#This Row],[Satisfaction Rating]],0)</f>
        <v>4</v>
      </c>
    </row>
    <row r="548" spans="1:11" x14ac:dyDescent="0.3">
      <c r="A548" s="23" t="s">
        <v>589</v>
      </c>
      <c r="B548" s="6" t="s">
        <v>18</v>
      </c>
      <c r="C548" s="6">
        <v>158</v>
      </c>
      <c r="D548" s="13" t="s">
        <v>28</v>
      </c>
      <c r="E548" s="14">
        <v>45091</v>
      </c>
      <c r="F548" s="6">
        <v>190</v>
      </c>
      <c r="G548" s="24">
        <v>4</v>
      </c>
      <c r="H548">
        <f>IF(MONTH(Table13[[#This Row],[Date of Call]])&lt;6, YEAR(Table13[[#This Row],[Date of Call]]),YEAR(Table13[[#This Row],[Date of Call]])+1)</f>
        <v>2024</v>
      </c>
      <c r="I548" t="str">
        <f>TEXT(Table13[[#This Row],[Date of Call]],"dddd")</f>
        <v>Wednesday</v>
      </c>
      <c r="J5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48">
        <f>ROUND(Table13[[#This Row],[Satisfaction Rating]],0)</f>
        <v>4</v>
      </c>
    </row>
    <row r="549" spans="1:11" x14ac:dyDescent="0.3">
      <c r="A549" s="23" t="s">
        <v>590</v>
      </c>
      <c r="B549" s="6" t="s">
        <v>13</v>
      </c>
      <c r="C549" s="6">
        <v>159</v>
      </c>
      <c r="D549" s="13" t="s">
        <v>29</v>
      </c>
      <c r="E549" s="14">
        <v>45091</v>
      </c>
      <c r="F549" s="6">
        <v>66</v>
      </c>
      <c r="G549" s="24">
        <v>3.4</v>
      </c>
      <c r="H549">
        <f>IF(MONTH(Table13[[#This Row],[Date of Call]])&lt;6, YEAR(Table13[[#This Row],[Date of Call]]),YEAR(Table13[[#This Row],[Date of Call]])+1)</f>
        <v>2024</v>
      </c>
      <c r="I549" t="str">
        <f>TEXT(Table13[[#This Row],[Date of Call]],"dddd")</f>
        <v>Wednesday</v>
      </c>
      <c r="J5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49">
        <f>ROUND(Table13[[#This Row],[Satisfaction Rating]],0)</f>
        <v>3</v>
      </c>
    </row>
    <row r="550" spans="1:11" x14ac:dyDescent="0.3">
      <c r="A550" s="23" t="s">
        <v>591</v>
      </c>
      <c r="B550" s="6" t="s">
        <v>7</v>
      </c>
      <c r="C550" s="6">
        <v>70</v>
      </c>
      <c r="D550" s="13" t="s">
        <v>30</v>
      </c>
      <c r="E550" s="14">
        <v>45092</v>
      </c>
      <c r="F550" s="6">
        <v>116</v>
      </c>
      <c r="G550" s="24">
        <v>3.2</v>
      </c>
      <c r="H550">
        <f>IF(MONTH(Table13[[#This Row],[Date of Call]])&lt;6, YEAR(Table13[[#This Row],[Date of Call]]),YEAR(Table13[[#This Row],[Date of Call]])+1)</f>
        <v>2024</v>
      </c>
      <c r="I550" t="str">
        <f>TEXT(Table13[[#This Row],[Date of Call]],"dddd")</f>
        <v>Thursday</v>
      </c>
      <c r="J5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0">
        <f>ROUND(Table13[[#This Row],[Satisfaction Rating]],0)</f>
        <v>3</v>
      </c>
    </row>
    <row r="551" spans="1:11" x14ac:dyDescent="0.3">
      <c r="A551" s="23" t="s">
        <v>592</v>
      </c>
      <c r="B551" s="6" t="s">
        <v>15</v>
      </c>
      <c r="C551" s="6">
        <v>78</v>
      </c>
      <c r="D551" s="13" t="s">
        <v>31</v>
      </c>
      <c r="E551" s="14">
        <v>45092</v>
      </c>
      <c r="F551" s="6">
        <v>28</v>
      </c>
      <c r="G551" s="24">
        <v>3.9</v>
      </c>
      <c r="H551">
        <f>IF(MONTH(Table13[[#This Row],[Date of Call]])&lt;6, YEAR(Table13[[#This Row],[Date of Call]]),YEAR(Table13[[#This Row],[Date of Call]])+1)</f>
        <v>2024</v>
      </c>
      <c r="I551" t="str">
        <f>TEXT(Table13[[#This Row],[Date of Call]],"dddd")</f>
        <v>Thursday</v>
      </c>
      <c r="J5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1">
        <f>ROUND(Table13[[#This Row],[Satisfaction Rating]],0)</f>
        <v>4</v>
      </c>
    </row>
    <row r="552" spans="1:11" x14ac:dyDescent="0.3">
      <c r="A552" s="23" t="s">
        <v>593</v>
      </c>
      <c r="B552" s="6" t="s">
        <v>14</v>
      </c>
      <c r="C552" s="6">
        <v>103</v>
      </c>
      <c r="D552" s="13" t="s">
        <v>30</v>
      </c>
      <c r="E552" s="14">
        <v>45092</v>
      </c>
      <c r="F552" s="6">
        <v>120</v>
      </c>
      <c r="G552" s="24">
        <v>5</v>
      </c>
      <c r="H552">
        <f>IF(MONTH(Table13[[#This Row],[Date of Call]])&lt;6, YEAR(Table13[[#This Row],[Date of Call]]),YEAR(Table13[[#This Row],[Date of Call]])+1)</f>
        <v>2024</v>
      </c>
      <c r="I552" t="str">
        <f>TEXT(Table13[[#This Row],[Date of Call]],"dddd")</f>
        <v>Thursday</v>
      </c>
      <c r="J5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2">
        <f>ROUND(Table13[[#This Row],[Satisfaction Rating]],0)</f>
        <v>5</v>
      </c>
    </row>
    <row r="553" spans="1:11" x14ac:dyDescent="0.3">
      <c r="A553" s="23" t="s">
        <v>594</v>
      </c>
      <c r="B553" s="6" t="s">
        <v>8</v>
      </c>
      <c r="C553" s="6">
        <v>108</v>
      </c>
      <c r="D553" s="13" t="s">
        <v>28</v>
      </c>
      <c r="E553" s="14">
        <v>45092</v>
      </c>
      <c r="F553" s="6">
        <v>56</v>
      </c>
      <c r="G553" s="24">
        <v>3.5</v>
      </c>
      <c r="H553">
        <f>IF(MONTH(Table13[[#This Row],[Date of Call]])&lt;6, YEAR(Table13[[#This Row],[Date of Call]]),YEAR(Table13[[#This Row],[Date of Call]])+1)</f>
        <v>2024</v>
      </c>
      <c r="I553" t="str">
        <f>TEXT(Table13[[#This Row],[Date of Call]],"dddd")</f>
        <v>Thursday</v>
      </c>
      <c r="J5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3">
        <f>ROUND(Table13[[#This Row],[Satisfaction Rating]],0)</f>
        <v>4</v>
      </c>
    </row>
    <row r="554" spans="1:11" x14ac:dyDescent="0.3">
      <c r="A554" s="23" t="s">
        <v>595</v>
      </c>
      <c r="B554" s="6" t="s">
        <v>8</v>
      </c>
      <c r="C554" s="6">
        <v>44</v>
      </c>
      <c r="D554" s="13" t="s">
        <v>32</v>
      </c>
      <c r="E554" s="14">
        <v>45092</v>
      </c>
      <c r="F554" s="6">
        <v>170</v>
      </c>
      <c r="G554" s="24">
        <v>3.8</v>
      </c>
      <c r="H554">
        <f>IF(MONTH(Table13[[#This Row],[Date of Call]])&lt;6, YEAR(Table13[[#This Row],[Date of Call]]),YEAR(Table13[[#This Row],[Date of Call]])+1)</f>
        <v>2024</v>
      </c>
      <c r="I554" t="str">
        <f>TEXT(Table13[[#This Row],[Date of Call]],"dddd")</f>
        <v>Thursday</v>
      </c>
      <c r="J5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54">
        <f>ROUND(Table13[[#This Row],[Satisfaction Rating]],0)</f>
        <v>4</v>
      </c>
    </row>
    <row r="555" spans="1:11" x14ac:dyDescent="0.3">
      <c r="A555" s="23" t="s">
        <v>596</v>
      </c>
      <c r="B555" s="6" t="s">
        <v>15</v>
      </c>
      <c r="C555" s="6">
        <v>127</v>
      </c>
      <c r="D555" s="13" t="s">
        <v>28</v>
      </c>
      <c r="E555" s="14">
        <v>45093</v>
      </c>
      <c r="F555" s="6">
        <v>200</v>
      </c>
      <c r="G555" s="24">
        <v>4.8</v>
      </c>
      <c r="H555">
        <f>IF(MONTH(Table13[[#This Row],[Date of Call]])&lt;6, YEAR(Table13[[#This Row],[Date of Call]]),YEAR(Table13[[#This Row],[Date of Call]])+1)</f>
        <v>2024</v>
      </c>
      <c r="I555" t="str">
        <f>TEXT(Table13[[#This Row],[Date of Call]],"dddd")</f>
        <v>Friday</v>
      </c>
      <c r="J5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55">
        <f>ROUND(Table13[[#This Row],[Satisfaction Rating]],0)</f>
        <v>5</v>
      </c>
    </row>
    <row r="556" spans="1:11" x14ac:dyDescent="0.3">
      <c r="A556" s="23" t="s">
        <v>597</v>
      </c>
      <c r="B556" s="6" t="s">
        <v>14</v>
      </c>
      <c r="C556" s="6">
        <v>132</v>
      </c>
      <c r="D556" s="13" t="s">
        <v>30</v>
      </c>
      <c r="E556" s="14">
        <v>45094</v>
      </c>
      <c r="F556" s="6">
        <v>50</v>
      </c>
      <c r="G556" s="24">
        <v>4.2</v>
      </c>
      <c r="H556">
        <f>IF(MONTH(Table13[[#This Row],[Date of Call]])&lt;6, YEAR(Table13[[#This Row],[Date of Call]]),YEAR(Table13[[#This Row],[Date of Call]])+1)</f>
        <v>2024</v>
      </c>
      <c r="I556" t="str">
        <f>TEXT(Table13[[#This Row],[Date of Call]],"dddd")</f>
        <v>Saturday</v>
      </c>
      <c r="J5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56">
        <f>ROUND(Table13[[#This Row],[Satisfaction Rating]],0)</f>
        <v>4</v>
      </c>
    </row>
    <row r="557" spans="1:11" x14ac:dyDescent="0.3">
      <c r="A557" s="23" t="s">
        <v>598</v>
      </c>
      <c r="B557" s="6" t="s">
        <v>6</v>
      </c>
      <c r="C557" s="6">
        <v>106</v>
      </c>
      <c r="D557" s="13" t="s">
        <v>31</v>
      </c>
      <c r="E557" s="14">
        <v>45094</v>
      </c>
      <c r="F557" s="6">
        <v>112</v>
      </c>
      <c r="G557" s="24">
        <v>3.7</v>
      </c>
      <c r="H557">
        <f>IF(MONTH(Table13[[#This Row],[Date of Call]])&lt;6, YEAR(Table13[[#This Row],[Date of Call]]),YEAR(Table13[[#This Row],[Date of Call]])+1)</f>
        <v>2024</v>
      </c>
      <c r="I557" t="str">
        <f>TEXT(Table13[[#This Row],[Date of Call]],"dddd")</f>
        <v>Saturday</v>
      </c>
      <c r="J5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7">
        <f>ROUND(Table13[[#This Row],[Satisfaction Rating]],0)</f>
        <v>4</v>
      </c>
    </row>
    <row r="558" spans="1:11" x14ac:dyDescent="0.3">
      <c r="A558" s="23" t="s">
        <v>599</v>
      </c>
      <c r="B558" s="6" t="s">
        <v>11</v>
      </c>
      <c r="C558" s="6">
        <v>107</v>
      </c>
      <c r="D558" s="13" t="s">
        <v>30</v>
      </c>
      <c r="E558" s="14">
        <v>45095</v>
      </c>
      <c r="F558" s="6">
        <v>39</v>
      </c>
      <c r="G558" s="24">
        <v>4.8</v>
      </c>
      <c r="H558">
        <f>IF(MONTH(Table13[[#This Row],[Date of Call]])&lt;6, YEAR(Table13[[#This Row],[Date of Call]]),YEAR(Table13[[#This Row],[Date of Call]])+1)</f>
        <v>2024</v>
      </c>
      <c r="I558" t="str">
        <f>TEXT(Table13[[#This Row],[Date of Call]],"dddd")</f>
        <v>Sunday</v>
      </c>
      <c r="J5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8">
        <f>ROUND(Table13[[#This Row],[Satisfaction Rating]],0)</f>
        <v>5</v>
      </c>
    </row>
    <row r="559" spans="1:11" x14ac:dyDescent="0.3">
      <c r="A559" s="23" t="s">
        <v>600</v>
      </c>
      <c r="B559" s="6" t="s">
        <v>13</v>
      </c>
      <c r="C559" s="6">
        <v>85</v>
      </c>
      <c r="D559" s="13" t="s">
        <v>31</v>
      </c>
      <c r="E559" s="14">
        <v>45095</v>
      </c>
      <c r="F559" s="6">
        <v>38</v>
      </c>
      <c r="G559" s="24">
        <v>4.8</v>
      </c>
      <c r="H559">
        <f>IF(MONTH(Table13[[#This Row],[Date of Call]])&lt;6, YEAR(Table13[[#This Row],[Date of Call]]),YEAR(Table13[[#This Row],[Date of Call]])+1)</f>
        <v>2024</v>
      </c>
      <c r="I559" t="str">
        <f>TEXT(Table13[[#This Row],[Date of Call]],"dddd")</f>
        <v>Sunday</v>
      </c>
      <c r="J5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59">
        <f>ROUND(Table13[[#This Row],[Satisfaction Rating]],0)</f>
        <v>5</v>
      </c>
    </row>
    <row r="560" spans="1:11" x14ac:dyDescent="0.3">
      <c r="A560" s="23" t="s">
        <v>601</v>
      </c>
      <c r="B560" s="6" t="s">
        <v>10</v>
      </c>
      <c r="C560" s="6">
        <v>49</v>
      </c>
      <c r="D560" s="13" t="s">
        <v>30</v>
      </c>
      <c r="E560" s="14">
        <v>45096</v>
      </c>
      <c r="F560" s="6">
        <v>84</v>
      </c>
      <c r="G560" s="24">
        <v>2.9</v>
      </c>
      <c r="H560">
        <f>IF(MONTH(Table13[[#This Row],[Date of Call]])&lt;6, YEAR(Table13[[#This Row],[Date of Call]]),YEAR(Table13[[#This Row],[Date of Call]])+1)</f>
        <v>2024</v>
      </c>
      <c r="I560" t="str">
        <f>TEXT(Table13[[#This Row],[Date of Call]],"dddd")</f>
        <v>Monday</v>
      </c>
      <c r="J5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60">
        <f>ROUND(Table13[[#This Row],[Satisfaction Rating]],0)</f>
        <v>3</v>
      </c>
    </row>
    <row r="561" spans="1:11" x14ac:dyDescent="0.3">
      <c r="A561" s="23" t="s">
        <v>602</v>
      </c>
      <c r="B561" s="6" t="s">
        <v>5</v>
      </c>
      <c r="C561" s="6">
        <v>117</v>
      </c>
      <c r="D561" s="13" t="s">
        <v>28</v>
      </c>
      <c r="E561" s="14">
        <v>45097</v>
      </c>
      <c r="F561" s="6">
        <v>82</v>
      </c>
      <c r="G561" s="24">
        <v>3.5</v>
      </c>
      <c r="H561">
        <f>IF(MONTH(Table13[[#This Row],[Date of Call]])&lt;6, YEAR(Table13[[#This Row],[Date of Call]]),YEAR(Table13[[#This Row],[Date of Call]])+1)</f>
        <v>2024</v>
      </c>
      <c r="I561" t="str">
        <f>TEXT(Table13[[#This Row],[Date of Call]],"dddd")</f>
        <v>Tuesday</v>
      </c>
      <c r="J5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61">
        <f>ROUND(Table13[[#This Row],[Satisfaction Rating]],0)</f>
        <v>4</v>
      </c>
    </row>
    <row r="562" spans="1:11" x14ac:dyDescent="0.3">
      <c r="A562" s="23" t="s">
        <v>603</v>
      </c>
      <c r="B562" s="6" t="s">
        <v>11</v>
      </c>
      <c r="C562" s="6">
        <v>136</v>
      </c>
      <c r="D562" s="13" t="s">
        <v>31</v>
      </c>
      <c r="E562" s="14">
        <v>45097</v>
      </c>
      <c r="F562" s="6">
        <v>37</v>
      </c>
      <c r="G562" s="24">
        <v>0.9</v>
      </c>
      <c r="H562">
        <f>IF(MONTH(Table13[[#This Row],[Date of Call]])&lt;6, YEAR(Table13[[#This Row],[Date of Call]]),YEAR(Table13[[#This Row],[Date of Call]])+1)</f>
        <v>2024</v>
      </c>
      <c r="I562" t="str">
        <f>TEXT(Table13[[#This Row],[Date of Call]],"dddd")</f>
        <v>Tuesday</v>
      </c>
      <c r="J5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62">
        <f>ROUND(Table13[[#This Row],[Satisfaction Rating]],0)</f>
        <v>1</v>
      </c>
    </row>
    <row r="563" spans="1:11" x14ac:dyDescent="0.3">
      <c r="A563" s="23" t="s">
        <v>604</v>
      </c>
      <c r="B563" s="6" t="s">
        <v>8</v>
      </c>
      <c r="C563" s="6">
        <v>130</v>
      </c>
      <c r="D563" s="13" t="s">
        <v>29</v>
      </c>
      <c r="E563" s="14">
        <v>45098</v>
      </c>
      <c r="F563" s="6">
        <v>87</v>
      </c>
      <c r="G563" s="24">
        <v>3.4</v>
      </c>
      <c r="H563">
        <f>IF(MONTH(Table13[[#This Row],[Date of Call]])&lt;6, YEAR(Table13[[#This Row],[Date of Call]]),YEAR(Table13[[#This Row],[Date of Call]])+1)</f>
        <v>2024</v>
      </c>
      <c r="I563" t="str">
        <f>TEXT(Table13[[#This Row],[Date of Call]],"dddd")</f>
        <v>Wednesday</v>
      </c>
      <c r="J5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63">
        <f>ROUND(Table13[[#This Row],[Satisfaction Rating]],0)</f>
        <v>3</v>
      </c>
    </row>
    <row r="564" spans="1:11" x14ac:dyDescent="0.3">
      <c r="A564" s="23" t="s">
        <v>605</v>
      </c>
      <c r="B564" s="6" t="s">
        <v>8</v>
      </c>
      <c r="C564" s="6">
        <v>73</v>
      </c>
      <c r="D564" s="13" t="s">
        <v>29</v>
      </c>
      <c r="E564" s="14">
        <v>45098</v>
      </c>
      <c r="F564" s="6">
        <v>75</v>
      </c>
      <c r="G564" s="24">
        <v>2.7</v>
      </c>
      <c r="H564">
        <f>IF(MONTH(Table13[[#This Row],[Date of Call]])&lt;6, YEAR(Table13[[#This Row],[Date of Call]]),YEAR(Table13[[#This Row],[Date of Call]])+1)</f>
        <v>2024</v>
      </c>
      <c r="I564" t="str">
        <f>TEXT(Table13[[#This Row],[Date of Call]],"dddd")</f>
        <v>Wednesday</v>
      </c>
      <c r="J5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64">
        <f>ROUND(Table13[[#This Row],[Satisfaction Rating]],0)</f>
        <v>3</v>
      </c>
    </row>
    <row r="565" spans="1:11" x14ac:dyDescent="0.3">
      <c r="A565" s="23" t="s">
        <v>606</v>
      </c>
      <c r="B565" s="6" t="s">
        <v>10</v>
      </c>
      <c r="C565" s="6">
        <v>80</v>
      </c>
      <c r="D565" s="13" t="s">
        <v>30</v>
      </c>
      <c r="E565" s="14">
        <v>45098</v>
      </c>
      <c r="F565" s="6">
        <v>32</v>
      </c>
      <c r="G565" s="24">
        <v>4.7</v>
      </c>
      <c r="H565">
        <f>IF(MONTH(Table13[[#This Row],[Date of Call]])&lt;6, YEAR(Table13[[#This Row],[Date of Call]]),YEAR(Table13[[#This Row],[Date of Call]])+1)</f>
        <v>2024</v>
      </c>
      <c r="I565" t="str">
        <f>TEXT(Table13[[#This Row],[Date of Call]],"dddd")</f>
        <v>Wednesday</v>
      </c>
      <c r="J5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65">
        <f>ROUND(Table13[[#This Row],[Satisfaction Rating]],0)</f>
        <v>5</v>
      </c>
    </row>
    <row r="566" spans="1:11" x14ac:dyDescent="0.3">
      <c r="A566" s="23" t="s">
        <v>607</v>
      </c>
      <c r="B566" s="6" t="s">
        <v>4</v>
      </c>
      <c r="C566" s="6">
        <v>44</v>
      </c>
      <c r="D566" s="13" t="s">
        <v>28</v>
      </c>
      <c r="E566" s="14">
        <v>45098</v>
      </c>
      <c r="F566" s="6">
        <v>33</v>
      </c>
      <c r="G566" s="24">
        <v>3</v>
      </c>
      <c r="H566">
        <f>IF(MONTH(Table13[[#This Row],[Date of Call]])&lt;6, YEAR(Table13[[#This Row],[Date of Call]]),YEAR(Table13[[#This Row],[Date of Call]])+1)</f>
        <v>2024</v>
      </c>
      <c r="I566" t="str">
        <f>TEXT(Table13[[#This Row],[Date of Call]],"dddd")</f>
        <v>Wednesday</v>
      </c>
      <c r="J5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66">
        <f>ROUND(Table13[[#This Row],[Satisfaction Rating]],0)</f>
        <v>3</v>
      </c>
    </row>
    <row r="567" spans="1:11" x14ac:dyDescent="0.3">
      <c r="A567" s="23" t="s">
        <v>608</v>
      </c>
      <c r="B567" s="6" t="s">
        <v>4</v>
      </c>
      <c r="C567" s="6">
        <v>102</v>
      </c>
      <c r="D567" s="13" t="s">
        <v>32</v>
      </c>
      <c r="E567" s="14">
        <v>45098</v>
      </c>
      <c r="F567" s="6">
        <v>76</v>
      </c>
      <c r="G567" s="24">
        <v>4.2</v>
      </c>
      <c r="H567">
        <f>IF(MONTH(Table13[[#This Row],[Date of Call]])&lt;6, YEAR(Table13[[#This Row],[Date of Call]]),YEAR(Table13[[#This Row],[Date of Call]])+1)</f>
        <v>2024</v>
      </c>
      <c r="I567" t="str">
        <f>TEXT(Table13[[#This Row],[Date of Call]],"dddd")</f>
        <v>Wednesday</v>
      </c>
      <c r="J5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67">
        <f>ROUND(Table13[[#This Row],[Satisfaction Rating]],0)</f>
        <v>4</v>
      </c>
    </row>
    <row r="568" spans="1:11" x14ac:dyDescent="0.3">
      <c r="A568" s="23" t="s">
        <v>609</v>
      </c>
      <c r="B568" s="6" t="s">
        <v>18</v>
      </c>
      <c r="C568" s="6">
        <v>74</v>
      </c>
      <c r="D568" s="13" t="s">
        <v>32</v>
      </c>
      <c r="E568" s="14">
        <v>45098</v>
      </c>
      <c r="F568" s="6">
        <v>117</v>
      </c>
      <c r="G568" s="24">
        <v>4.8</v>
      </c>
      <c r="H568">
        <f>IF(MONTH(Table13[[#This Row],[Date of Call]])&lt;6, YEAR(Table13[[#This Row],[Date of Call]]),YEAR(Table13[[#This Row],[Date of Call]])+1)</f>
        <v>2024</v>
      </c>
      <c r="I568" t="str">
        <f>TEXT(Table13[[#This Row],[Date of Call]],"dddd")</f>
        <v>Wednesday</v>
      </c>
      <c r="J5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68">
        <f>ROUND(Table13[[#This Row],[Satisfaction Rating]],0)</f>
        <v>5</v>
      </c>
    </row>
    <row r="569" spans="1:11" x14ac:dyDescent="0.3">
      <c r="A569" s="23" t="s">
        <v>610</v>
      </c>
      <c r="B569" s="6" t="s">
        <v>10</v>
      </c>
      <c r="C569" s="6">
        <v>52</v>
      </c>
      <c r="D569" s="13" t="s">
        <v>28</v>
      </c>
      <c r="E569" s="14">
        <v>45100</v>
      </c>
      <c r="F569" s="6">
        <v>70</v>
      </c>
      <c r="G569" s="24">
        <v>4.0999999999999996</v>
      </c>
      <c r="H569">
        <f>IF(MONTH(Table13[[#This Row],[Date of Call]])&lt;6, YEAR(Table13[[#This Row],[Date of Call]]),YEAR(Table13[[#This Row],[Date of Call]])+1)</f>
        <v>2024</v>
      </c>
      <c r="I569" t="str">
        <f>TEXT(Table13[[#This Row],[Date of Call]],"dddd")</f>
        <v>Friday</v>
      </c>
      <c r="J5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69">
        <f>ROUND(Table13[[#This Row],[Satisfaction Rating]],0)</f>
        <v>4</v>
      </c>
    </row>
    <row r="570" spans="1:11" x14ac:dyDescent="0.3">
      <c r="A570" s="23" t="s">
        <v>611</v>
      </c>
      <c r="B570" s="6" t="s">
        <v>10</v>
      </c>
      <c r="C570" s="6">
        <v>74</v>
      </c>
      <c r="D570" s="13" t="s">
        <v>29</v>
      </c>
      <c r="E570" s="14">
        <v>45100</v>
      </c>
      <c r="F570" s="6">
        <v>37</v>
      </c>
      <c r="G570" s="24">
        <v>2.7</v>
      </c>
      <c r="H570">
        <f>IF(MONTH(Table13[[#This Row],[Date of Call]])&lt;6, YEAR(Table13[[#This Row],[Date of Call]]),YEAR(Table13[[#This Row],[Date of Call]])+1)</f>
        <v>2024</v>
      </c>
      <c r="I570" t="str">
        <f>TEXT(Table13[[#This Row],[Date of Call]],"dddd")</f>
        <v>Friday</v>
      </c>
      <c r="J5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70">
        <f>ROUND(Table13[[#This Row],[Satisfaction Rating]],0)</f>
        <v>3</v>
      </c>
    </row>
    <row r="571" spans="1:11" x14ac:dyDescent="0.3">
      <c r="A571" s="23" t="s">
        <v>612</v>
      </c>
      <c r="B571" s="6" t="s">
        <v>8</v>
      </c>
      <c r="C571" s="6">
        <v>96</v>
      </c>
      <c r="D571" s="13" t="s">
        <v>32</v>
      </c>
      <c r="E571" s="14">
        <v>45100</v>
      </c>
      <c r="F571" s="6">
        <v>46</v>
      </c>
      <c r="G571" s="24">
        <v>2.9</v>
      </c>
      <c r="H571">
        <f>IF(MONTH(Table13[[#This Row],[Date of Call]])&lt;6, YEAR(Table13[[#This Row],[Date of Call]]),YEAR(Table13[[#This Row],[Date of Call]])+1)</f>
        <v>2024</v>
      </c>
      <c r="I571" t="str">
        <f>TEXT(Table13[[#This Row],[Date of Call]],"dddd")</f>
        <v>Friday</v>
      </c>
      <c r="J5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71">
        <f>ROUND(Table13[[#This Row],[Satisfaction Rating]],0)</f>
        <v>3</v>
      </c>
    </row>
    <row r="572" spans="1:11" x14ac:dyDescent="0.3">
      <c r="A572" s="23" t="s">
        <v>613</v>
      </c>
      <c r="B572" s="6" t="s">
        <v>16</v>
      </c>
      <c r="C572" s="6">
        <v>104</v>
      </c>
      <c r="D572" s="13" t="s">
        <v>30</v>
      </c>
      <c r="E572" s="14">
        <v>45100</v>
      </c>
      <c r="F572" s="6">
        <v>136</v>
      </c>
      <c r="G572" s="24">
        <v>5</v>
      </c>
      <c r="H572">
        <f>IF(MONTH(Table13[[#This Row],[Date of Call]])&lt;6, YEAR(Table13[[#This Row],[Date of Call]]),YEAR(Table13[[#This Row],[Date of Call]])+1)</f>
        <v>2024</v>
      </c>
      <c r="I572" t="str">
        <f>TEXT(Table13[[#This Row],[Date of Call]],"dddd")</f>
        <v>Friday</v>
      </c>
      <c r="J5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72">
        <f>ROUND(Table13[[#This Row],[Satisfaction Rating]],0)</f>
        <v>5</v>
      </c>
    </row>
    <row r="573" spans="1:11" x14ac:dyDescent="0.3">
      <c r="A573" s="23" t="s">
        <v>614</v>
      </c>
      <c r="B573" s="6" t="s">
        <v>8</v>
      </c>
      <c r="C573" s="6">
        <v>123</v>
      </c>
      <c r="D573" s="13" t="s">
        <v>32</v>
      </c>
      <c r="E573" s="14">
        <v>45101</v>
      </c>
      <c r="F573" s="6">
        <v>44</v>
      </c>
      <c r="G573" s="24">
        <v>4.5999999999999996</v>
      </c>
      <c r="H573">
        <f>IF(MONTH(Table13[[#This Row],[Date of Call]])&lt;6, YEAR(Table13[[#This Row],[Date of Call]]),YEAR(Table13[[#This Row],[Date of Call]])+1)</f>
        <v>2024</v>
      </c>
      <c r="I573" t="str">
        <f>TEXT(Table13[[#This Row],[Date of Call]],"dddd")</f>
        <v>Saturday</v>
      </c>
      <c r="J5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73">
        <f>ROUND(Table13[[#This Row],[Satisfaction Rating]],0)</f>
        <v>5</v>
      </c>
    </row>
    <row r="574" spans="1:11" x14ac:dyDescent="0.3">
      <c r="A574" s="23" t="s">
        <v>615</v>
      </c>
      <c r="B574" s="6" t="s">
        <v>12</v>
      </c>
      <c r="C574" s="6">
        <v>100</v>
      </c>
      <c r="D574" s="13" t="s">
        <v>31</v>
      </c>
      <c r="E574" s="14">
        <v>45101</v>
      </c>
      <c r="F574" s="6">
        <v>69</v>
      </c>
      <c r="G574" s="24">
        <v>3</v>
      </c>
      <c r="H574">
        <f>IF(MONTH(Table13[[#This Row],[Date of Call]])&lt;6, YEAR(Table13[[#This Row],[Date of Call]]),YEAR(Table13[[#This Row],[Date of Call]])+1)</f>
        <v>2024</v>
      </c>
      <c r="I574" t="str">
        <f>TEXT(Table13[[#This Row],[Date of Call]],"dddd")</f>
        <v>Saturday</v>
      </c>
      <c r="J5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74">
        <f>ROUND(Table13[[#This Row],[Satisfaction Rating]],0)</f>
        <v>3</v>
      </c>
    </row>
    <row r="575" spans="1:11" x14ac:dyDescent="0.3">
      <c r="A575" s="23" t="s">
        <v>616</v>
      </c>
      <c r="B575" s="6" t="s">
        <v>16</v>
      </c>
      <c r="C575" s="6">
        <v>35</v>
      </c>
      <c r="D575" s="13" t="s">
        <v>28</v>
      </c>
      <c r="E575" s="14">
        <v>45102</v>
      </c>
      <c r="F575" s="6">
        <v>86</v>
      </c>
      <c r="G575" s="24">
        <v>4.5999999999999996</v>
      </c>
      <c r="H575">
        <f>IF(MONTH(Table13[[#This Row],[Date of Call]])&lt;6, YEAR(Table13[[#This Row],[Date of Call]]),YEAR(Table13[[#This Row],[Date of Call]])+1)</f>
        <v>2024</v>
      </c>
      <c r="I575" t="str">
        <f>TEXT(Table13[[#This Row],[Date of Call]],"dddd")</f>
        <v>Sunday</v>
      </c>
      <c r="J5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75">
        <f>ROUND(Table13[[#This Row],[Satisfaction Rating]],0)</f>
        <v>5</v>
      </c>
    </row>
    <row r="576" spans="1:11" x14ac:dyDescent="0.3">
      <c r="A576" s="23" t="s">
        <v>617</v>
      </c>
      <c r="B576" s="6" t="s">
        <v>10</v>
      </c>
      <c r="C576" s="6">
        <v>123</v>
      </c>
      <c r="D576" s="13" t="s">
        <v>30</v>
      </c>
      <c r="E576" s="14">
        <v>45102</v>
      </c>
      <c r="F576" s="6">
        <v>68</v>
      </c>
      <c r="G576" s="24">
        <v>4.5</v>
      </c>
      <c r="H576">
        <f>IF(MONTH(Table13[[#This Row],[Date of Call]])&lt;6, YEAR(Table13[[#This Row],[Date of Call]]),YEAR(Table13[[#This Row],[Date of Call]])+1)</f>
        <v>2024</v>
      </c>
      <c r="I576" t="str">
        <f>TEXT(Table13[[#This Row],[Date of Call]],"dddd")</f>
        <v>Sunday</v>
      </c>
      <c r="J5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76">
        <f>ROUND(Table13[[#This Row],[Satisfaction Rating]],0)</f>
        <v>5</v>
      </c>
    </row>
    <row r="577" spans="1:11" x14ac:dyDescent="0.3">
      <c r="A577" s="23" t="s">
        <v>618</v>
      </c>
      <c r="B577" s="6" t="s">
        <v>5</v>
      </c>
      <c r="C577" s="6">
        <v>133</v>
      </c>
      <c r="D577" s="13" t="s">
        <v>28</v>
      </c>
      <c r="E577" s="14">
        <v>45103</v>
      </c>
      <c r="F577" s="6">
        <v>21</v>
      </c>
      <c r="G577" s="24">
        <v>3.7</v>
      </c>
      <c r="H577">
        <f>IF(MONTH(Table13[[#This Row],[Date of Call]])&lt;6, YEAR(Table13[[#This Row],[Date of Call]]),YEAR(Table13[[#This Row],[Date of Call]])+1)</f>
        <v>2024</v>
      </c>
      <c r="I577" t="str">
        <f>TEXT(Table13[[#This Row],[Date of Call]],"dddd")</f>
        <v>Monday</v>
      </c>
      <c r="J5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77">
        <f>ROUND(Table13[[#This Row],[Satisfaction Rating]],0)</f>
        <v>4</v>
      </c>
    </row>
    <row r="578" spans="1:11" x14ac:dyDescent="0.3">
      <c r="A578" s="23" t="s">
        <v>619</v>
      </c>
      <c r="B578" s="6" t="s">
        <v>8</v>
      </c>
      <c r="C578" s="6">
        <v>126</v>
      </c>
      <c r="D578" s="13" t="s">
        <v>29</v>
      </c>
      <c r="E578" s="14">
        <v>45103</v>
      </c>
      <c r="F578" s="6">
        <v>190</v>
      </c>
      <c r="G578" s="24">
        <v>2.4</v>
      </c>
      <c r="H578">
        <f>IF(MONTH(Table13[[#This Row],[Date of Call]])&lt;6, YEAR(Table13[[#This Row],[Date of Call]]),YEAR(Table13[[#This Row],[Date of Call]])+1)</f>
        <v>2024</v>
      </c>
      <c r="I578" t="str">
        <f>TEXT(Table13[[#This Row],[Date of Call]],"dddd")</f>
        <v>Monday</v>
      </c>
      <c r="J5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78">
        <f>ROUND(Table13[[#This Row],[Satisfaction Rating]],0)</f>
        <v>2</v>
      </c>
    </row>
    <row r="579" spans="1:11" x14ac:dyDescent="0.3">
      <c r="A579" s="23" t="s">
        <v>620</v>
      </c>
      <c r="B579" s="6" t="s">
        <v>10</v>
      </c>
      <c r="C579" s="6">
        <v>39</v>
      </c>
      <c r="D579" s="13" t="s">
        <v>32</v>
      </c>
      <c r="E579" s="14">
        <v>45103</v>
      </c>
      <c r="F579" s="6">
        <v>176</v>
      </c>
      <c r="G579" s="24">
        <v>4.3</v>
      </c>
      <c r="H579">
        <f>IF(MONTH(Table13[[#This Row],[Date of Call]])&lt;6, YEAR(Table13[[#This Row],[Date of Call]]),YEAR(Table13[[#This Row],[Date of Call]])+1)</f>
        <v>2024</v>
      </c>
      <c r="I579" t="str">
        <f>TEXT(Table13[[#This Row],[Date of Call]],"dddd")</f>
        <v>Monday</v>
      </c>
      <c r="J5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79">
        <f>ROUND(Table13[[#This Row],[Satisfaction Rating]],0)</f>
        <v>4</v>
      </c>
    </row>
    <row r="580" spans="1:11" x14ac:dyDescent="0.3">
      <c r="A580" s="23" t="s">
        <v>621</v>
      </c>
      <c r="B580" s="6" t="s">
        <v>18</v>
      </c>
      <c r="C580" s="6">
        <v>31</v>
      </c>
      <c r="D580" s="13" t="s">
        <v>30</v>
      </c>
      <c r="E580" s="14">
        <v>45103</v>
      </c>
      <c r="F580" s="6">
        <v>172</v>
      </c>
      <c r="G580" s="24">
        <v>3.9</v>
      </c>
      <c r="H580">
        <f>IF(MONTH(Table13[[#This Row],[Date of Call]])&lt;6, YEAR(Table13[[#This Row],[Date of Call]]),YEAR(Table13[[#This Row],[Date of Call]])+1)</f>
        <v>2024</v>
      </c>
      <c r="I580" t="str">
        <f>TEXT(Table13[[#This Row],[Date of Call]],"dddd")</f>
        <v>Monday</v>
      </c>
      <c r="J5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80">
        <f>ROUND(Table13[[#This Row],[Satisfaction Rating]],0)</f>
        <v>4</v>
      </c>
    </row>
    <row r="581" spans="1:11" x14ac:dyDescent="0.3">
      <c r="A581" s="23" t="s">
        <v>622</v>
      </c>
      <c r="B581" s="6" t="s">
        <v>14</v>
      </c>
      <c r="C581" s="6">
        <v>25</v>
      </c>
      <c r="D581" s="13" t="s">
        <v>28</v>
      </c>
      <c r="E581" s="14">
        <v>45103</v>
      </c>
      <c r="F581" s="6">
        <v>84</v>
      </c>
      <c r="G581" s="24">
        <v>4.5</v>
      </c>
      <c r="H581">
        <f>IF(MONTH(Table13[[#This Row],[Date of Call]])&lt;6, YEAR(Table13[[#This Row],[Date of Call]]),YEAR(Table13[[#This Row],[Date of Call]])+1)</f>
        <v>2024</v>
      </c>
      <c r="I581" t="str">
        <f>TEXT(Table13[[#This Row],[Date of Call]],"dddd")</f>
        <v>Monday</v>
      </c>
      <c r="J5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581">
        <f>ROUND(Table13[[#This Row],[Satisfaction Rating]],0)</f>
        <v>5</v>
      </c>
    </row>
    <row r="582" spans="1:11" x14ac:dyDescent="0.3">
      <c r="A582" s="23" t="s">
        <v>623</v>
      </c>
      <c r="B582" s="6" t="s">
        <v>7</v>
      </c>
      <c r="C582" s="6">
        <v>132</v>
      </c>
      <c r="D582" s="13" t="s">
        <v>31</v>
      </c>
      <c r="E582" s="14">
        <v>45104</v>
      </c>
      <c r="F582" s="6">
        <v>42</v>
      </c>
      <c r="G582" s="24">
        <v>5</v>
      </c>
      <c r="H582">
        <f>IF(MONTH(Table13[[#This Row],[Date of Call]])&lt;6, YEAR(Table13[[#This Row],[Date of Call]]),YEAR(Table13[[#This Row],[Date of Call]])+1)</f>
        <v>2024</v>
      </c>
      <c r="I582" t="str">
        <f>TEXT(Table13[[#This Row],[Date of Call]],"dddd")</f>
        <v>Tuesday</v>
      </c>
      <c r="J5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82">
        <f>ROUND(Table13[[#This Row],[Satisfaction Rating]],0)</f>
        <v>5</v>
      </c>
    </row>
    <row r="583" spans="1:11" x14ac:dyDescent="0.3">
      <c r="A583" s="23" t="s">
        <v>624</v>
      </c>
      <c r="B583" s="6" t="s">
        <v>16</v>
      </c>
      <c r="C583" s="6">
        <v>63</v>
      </c>
      <c r="D583" s="13" t="s">
        <v>29</v>
      </c>
      <c r="E583" s="14">
        <v>45104</v>
      </c>
      <c r="F583" s="6">
        <v>70</v>
      </c>
      <c r="G583" s="24">
        <v>1.6</v>
      </c>
      <c r="H583">
        <f>IF(MONTH(Table13[[#This Row],[Date of Call]])&lt;6, YEAR(Table13[[#This Row],[Date of Call]]),YEAR(Table13[[#This Row],[Date of Call]])+1)</f>
        <v>2024</v>
      </c>
      <c r="I583" t="str">
        <f>TEXT(Table13[[#This Row],[Date of Call]],"dddd")</f>
        <v>Tuesday</v>
      </c>
      <c r="J5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83">
        <f>ROUND(Table13[[#This Row],[Satisfaction Rating]],0)</f>
        <v>2</v>
      </c>
    </row>
    <row r="584" spans="1:11" x14ac:dyDescent="0.3">
      <c r="A584" s="23" t="s">
        <v>625</v>
      </c>
      <c r="B584" s="6" t="s">
        <v>12</v>
      </c>
      <c r="C584" s="6">
        <v>135</v>
      </c>
      <c r="D584" s="13" t="s">
        <v>31</v>
      </c>
      <c r="E584" s="14">
        <v>45104</v>
      </c>
      <c r="F584" s="6">
        <v>60</v>
      </c>
      <c r="G584" s="24">
        <v>4.3</v>
      </c>
      <c r="H584">
        <f>IF(MONTH(Table13[[#This Row],[Date of Call]])&lt;6, YEAR(Table13[[#This Row],[Date of Call]]),YEAR(Table13[[#This Row],[Date of Call]])+1)</f>
        <v>2024</v>
      </c>
      <c r="I584" t="str">
        <f>TEXT(Table13[[#This Row],[Date of Call]],"dddd")</f>
        <v>Tuesday</v>
      </c>
      <c r="J5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84">
        <f>ROUND(Table13[[#This Row],[Satisfaction Rating]],0)</f>
        <v>4</v>
      </c>
    </row>
    <row r="585" spans="1:11" x14ac:dyDescent="0.3">
      <c r="A585" s="23" t="s">
        <v>626</v>
      </c>
      <c r="B585" s="6" t="s">
        <v>13</v>
      </c>
      <c r="C585" s="6">
        <v>101</v>
      </c>
      <c r="D585" s="13" t="s">
        <v>29</v>
      </c>
      <c r="E585" s="14">
        <v>45104</v>
      </c>
      <c r="F585" s="6">
        <v>84</v>
      </c>
      <c r="G585" s="24">
        <v>3.5</v>
      </c>
      <c r="H585">
        <f>IF(MONTH(Table13[[#This Row],[Date of Call]])&lt;6, YEAR(Table13[[#This Row],[Date of Call]]),YEAR(Table13[[#This Row],[Date of Call]])+1)</f>
        <v>2024</v>
      </c>
      <c r="I585" t="str">
        <f>TEXT(Table13[[#This Row],[Date of Call]],"dddd")</f>
        <v>Tuesday</v>
      </c>
      <c r="J5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85">
        <f>ROUND(Table13[[#This Row],[Satisfaction Rating]],0)</f>
        <v>4</v>
      </c>
    </row>
    <row r="586" spans="1:11" x14ac:dyDescent="0.3">
      <c r="A586" s="23" t="s">
        <v>627</v>
      </c>
      <c r="B586" s="6" t="s">
        <v>5</v>
      </c>
      <c r="C586" s="6">
        <v>80</v>
      </c>
      <c r="D586" s="13" t="s">
        <v>32</v>
      </c>
      <c r="E586" s="14">
        <v>45105</v>
      </c>
      <c r="F586" s="6">
        <v>68</v>
      </c>
      <c r="G586" s="24">
        <v>3.1</v>
      </c>
      <c r="H586">
        <f>IF(MONTH(Table13[[#This Row],[Date of Call]])&lt;6, YEAR(Table13[[#This Row],[Date of Call]]),YEAR(Table13[[#This Row],[Date of Call]])+1)</f>
        <v>2024</v>
      </c>
      <c r="I586" t="str">
        <f>TEXT(Table13[[#This Row],[Date of Call]],"dddd")</f>
        <v>Wednesday</v>
      </c>
      <c r="J5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86">
        <f>ROUND(Table13[[#This Row],[Satisfaction Rating]],0)</f>
        <v>3</v>
      </c>
    </row>
    <row r="587" spans="1:11" x14ac:dyDescent="0.3">
      <c r="A587" s="23" t="s">
        <v>628</v>
      </c>
      <c r="B587" s="6" t="s">
        <v>4</v>
      </c>
      <c r="C587" s="6">
        <v>28</v>
      </c>
      <c r="D587" s="13" t="s">
        <v>32</v>
      </c>
      <c r="E587" s="14">
        <v>45105</v>
      </c>
      <c r="F587" s="6">
        <v>44</v>
      </c>
      <c r="G587" s="24">
        <v>2.9</v>
      </c>
      <c r="H587">
        <f>IF(MONTH(Table13[[#This Row],[Date of Call]])&lt;6, YEAR(Table13[[#This Row],[Date of Call]]),YEAR(Table13[[#This Row],[Date of Call]])+1)</f>
        <v>2024</v>
      </c>
      <c r="I587" t="str">
        <f>TEXT(Table13[[#This Row],[Date of Call]],"dddd")</f>
        <v>Wednesday</v>
      </c>
      <c r="J5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587">
        <f>ROUND(Table13[[#This Row],[Satisfaction Rating]],0)</f>
        <v>3</v>
      </c>
    </row>
    <row r="588" spans="1:11" x14ac:dyDescent="0.3">
      <c r="A588" s="23" t="s">
        <v>629</v>
      </c>
      <c r="B588" s="6" t="s">
        <v>13</v>
      </c>
      <c r="C588" s="6">
        <v>102</v>
      </c>
      <c r="D588" s="13" t="s">
        <v>31</v>
      </c>
      <c r="E588" s="14">
        <v>45106</v>
      </c>
      <c r="F588" s="6">
        <v>99</v>
      </c>
      <c r="G588" s="24">
        <v>3.2</v>
      </c>
      <c r="H588">
        <f>IF(MONTH(Table13[[#This Row],[Date of Call]])&lt;6, YEAR(Table13[[#This Row],[Date of Call]]),YEAR(Table13[[#This Row],[Date of Call]])+1)</f>
        <v>2024</v>
      </c>
      <c r="I588" t="str">
        <f>TEXT(Table13[[#This Row],[Date of Call]],"dddd")</f>
        <v>Thursday</v>
      </c>
      <c r="J5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88">
        <f>ROUND(Table13[[#This Row],[Satisfaction Rating]],0)</f>
        <v>3</v>
      </c>
    </row>
    <row r="589" spans="1:11" x14ac:dyDescent="0.3">
      <c r="A589" s="23" t="s">
        <v>630</v>
      </c>
      <c r="B589" s="6" t="s">
        <v>16</v>
      </c>
      <c r="C589" s="6">
        <v>60</v>
      </c>
      <c r="D589" s="13" t="s">
        <v>31</v>
      </c>
      <c r="E589" s="14">
        <v>45107</v>
      </c>
      <c r="F589" s="6">
        <v>66</v>
      </c>
      <c r="G589" s="24">
        <v>3.2</v>
      </c>
      <c r="H589">
        <f>IF(MONTH(Table13[[#This Row],[Date of Call]])&lt;6, YEAR(Table13[[#This Row],[Date of Call]]),YEAR(Table13[[#This Row],[Date of Call]])+1)</f>
        <v>2024</v>
      </c>
      <c r="I589" t="str">
        <f>TEXT(Table13[[#This Row],[Date of Call]],"dddd")</f>
        <v>Friday</v>
      </c>
      <c r="J5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89">
        <f>ROUND(Table13[[#This Row],[Satisfaction Rating]],0)</f>
        <v>3</v>
      </c>
    </row>
    <row r="590" spans="1:11" x14ac:dyDescent="0.3">
      <c r="A590" s="23" t="s">
        <v>631</v>
      </c>
      <c r="B590" s="6" t="s">
        <v>17</v>
      </c>
      <c r="C590" s="6">
        <v>103</v>
      </c>
      <c r="D590" s="13" t="s">
        <v>31</v>
      </c>
      <c r="E590" s="14">
        <v>45107</v>
      </c>
      <c r="F590" s="6">
        <v>102</v>
      </c>
      <c r="G590" s="24">
        <v>4.5</v>
      </c>
      <c r="H590">
        <f>IF(MONTH(Table13[[#This Row],[Date of Call]])&lt;6, YEAR(Table13[[#This Row],[Date of Call]]),YEAR(Table13[[#This Row],[Date of Call]])+1)</f>
        <v>2024</v>
      </c>
      <c r="I590" t="str">
        <f>TEXT(Table13[[#This Row],[Date of Call]],"dddd")</f>
        <v>Friday</v>
      </c>
      <c r="J5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90">
        <f>ROUND(Table13[[#This Row],[Satisfaction Rating]],0)</f>
        <v>5</v>
      </c>
    </row>
    <row r="591" spans="1:11" x14ac:dyDescent="0.3">
      <c r="A591" s="23" t="s">
        <v>632</v>
      </c>
      <c r="B591" s="6" t="s">
        <v>5</v>
      </c>
      <c r="C591" s="6">
        <v>90</v>
      </c>
      <c r="D591" s="13" t="s">
        <v>32</v>
      </c>
      <c r="E591" s="14">
        <v>45108</v>
      </c>
      <c r="F591" s="6">
        <v>129</v>
      </c>
      <c r="G591" s="24">
        <v>3.9</v>
      </c>
      <c r="H591">
        <f>IF(MONTH(Table13[[#This Row],[Date of Call]])&lt;6, YEAR(Table13[[#This Row],[Date of Call]]),YEAR(Table13[[#This Row],[Date of Call]])+1)</f>
        <v>2024</v>
      </c>
      <c r="I591" t="str">
        <f>TEXT(Table13[[#This Row],[Date of Call]],"dddd")</f>
        <v>Saturday</v>
      </c>
      <c r="J5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91">
        <f>ROUND(Table13[[#This Row],[Satisfaction Rating]],0)</f>
        <v>4</v>
      </c>
    </row>
    <row r="592" spans="1:11" x14ac:dyDescent="0.3">
      <c r="A592" s="23" t="s">
        <v>633</v>
      </c>
      <c r="B592" s="6" t="s">
        <v>15</v>
      </c>
      <c r="C592" s="6">
        <v>88</v>
      </c>
      <c r="D592" s="13" t="s">
        <v>31</v>
      </c>
      <c r="E592" s="14">
        <v>45108</v>
      </c>
      <c r="F592" s="6">
        <v>80</v>
      </c>
      <c r="G592" s="24">
        <v>4.2</v>
      </c>
      <c r="H592">
        <f>IF(MONTH(Table13[[#This Row],[Date of Call]])&lt;6, YEAR(Table13[[#This Row],[Date of Call]]),YEAR(Table13[[#This Row],[Date of Call]])+1)</f>
        <v>2024</v>
      </c>
      <c r="I592" t="str">
        <f>TEXT(Table13[[#This Row],[Date of Call]],"dddd")</f>
        <v>Saturday</v>
      </c>
      <c r="J5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92">
        <f>ROUND(Table13[[#This Row],[Satisfaction Rating]],0)</f>
        <v>4</v>
      </c>
    </row>
    <row r="593" spans="1:11" x14ac:dyDescent="0.3">
      <c r="A593" s="23" t="s">
        <v>634</v>
      </c>
      <c r="B593" s="6" t="s">
        <v>17</v>
      </c>
      <c r="C593" s="6">
        <v>37</v>
      </c>
      <c r="D593" s="13" t="s">
        <v>31</v>
      </c>
      <c r="E593" s="14">
        <v>45108</v>
      </c>
      <c r="F593" s="6">
        <v>54</v>
      </c>
      <c r="G593" s="24">
        <v>1.8</v>
      </c>
      <c r="H593">
        <f>IF(MONTH(Table13[[#This Row],[Date of Call]])&lt;6, YEAR(Table13[[#This Row],[Date of Call]]),YEAR(Table13[[#This Row],[Date of Call]])+1)</f>
        <v>2024</v>
      </c>
      <c r="I593" t="str">
        <f>TEXT(Table13[[#This Row],[Date of Call]],"dddd")</f>
        <v>Saturday</v>
      </c>
      <c r="J5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593">
        <f>ROUND(Table13[[#This Row],[Satisfaction Rating]],0)</f>
        <v>2</v>
      </c>
    </row>
    <row r="594" spans="1:11" x14ac:dyDescent="0.3">
      <c r="A594" s="23" t="s">
        <v>635</v>
      </c>
      <c r="B594" s="6" t="s">
        <v>4</v>
      </c>
      <c r="C594" s="6">
        <v>142</v>
      </c>
      <c r="D594" s="13" t="s">
        <v>32</v>
      </c>
      <c r="E594" s="14">
        <v>45108</v>
      </c>
      <c r="F594" s="6">
        <v>116</v>
      </c>
      <c r="G594" s="24">
        <v>4.2</v>
      </c>
      <c r="H594">
        <f>IF(MONTH(Table13[[#This Row],[Date of Call]])&lt;6, YEAR(Table13[[#This Row],[Date of Call]]),YEAR(Table13[[#This Row],[Date of Call]])+1)</f>
        <v>2024</v>
      </c>
      <c r="I594" t="str">
        <f>TEXT(Table13[[#This Row],[Date of Call]],"dddd")</f>
        <v>Saturday</v>
      </c>
      <c r="J5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94">
        <f>ROUND(Table13[[#This Row],[Satisfaction Rating]],0)</f>
        <v>4</v>
      </c>
    </row>
    <row r="595" spans="1:11" x14ac:dyDescent="0.3">
      <c r="A595" s="23" t="s">
        <v>636</v>
      </c>
      <c r="B595" s="6" t="s">
        <v>4</v>
      </c>
      <c r="C595" s="6">
        <v>153</v>
      </c>
      <c r="D595" s="13" t="s">
        <v>28</v>
      </c>
      <c r="E595" s="14">
        <v>45108</v>
      </c>
      <c r="F595" s="6">
        <v>102</v>
      </c>
      <c r="G595" s="24">
        <v>3.1</v>
      </c>
      <c r="H595">
        <f>IF(MONTH(Table13[[#This Row],[Date of Call]])&lt;6, YEAR(Table13[[#This Row],[Date of Call]]),YEAR(Table13[[#This Row],[Date of Call]])+1)</f>
        <v>2024</v>
      </c>
      <c r="I595" t="str">
        <f>TEXT(Table13[[#This Row],[Date of Call]],"dddd")</f>
        <v>Saturday</v>
      </c>
      <c r="J5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95">
        <f>ROUND(Table13[[#This Row],[Satisfaction Rating]],0)</f>
        <v>3</v>
      </c>
    </row>
    <row r="596" spans="1:11" x14ac:dyDescent="0.3">
      <c r="A596" s="23" t="s">
        <v>637</v>
      </c>
      <c r="B596" s="6" t="s">
        <v>9</v>
      </c>
      <c r="C596" s="6">
        <v>128</v>
      </c>
      <c r="D596" s="13" t="s">
        <v>29</v>
      </c>
      <c r="E596" s="14">
        <v>45108</v>
      </c>
      <c r="F596" s="6">
        <v>140</v>
      </c>
      <c r="G596" s="24">
        <v>4.3</v>
      </c>
      <c r="H596">
        <f>IF(MONTH(Table13[[#This Row],[Date of Call]])&lt;6, YEAR(Table13[[#This Row],[Date of Call]]),YEAR(Table13[[#This Row],[Date of Call]])+1)</f>
        <v>2024</v>
      </c>
      <c r="I596" t="str">
        <f>TEXT(Table13[[#This Row],[Date of Call]],"dddd")</f>
        <v>Saturday</v>
      </c>
      <c r="J5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96">
        <f>ROUND(Table13[[#This Row],[Satisfaction Rating]],0)</f>
        <v>4</v>
      </c>
    </row>
    <row r="597" spans="1:11" x14ac:dyDescent="0.3">
      <c r="A597" s="23" t="s">
        <v>638</v>
      </c>
      <c r="B597" s="6" t="s">
        <v>16</v>
      </c>
      <c r="C597" s="6">
        <v>110</v>
      </c>
      <c r="D597" s="13" t="s">
        <v>29</v>
      </c>
      <c r="E597" s="14">
        <v>45109</v>
      </c>
      <c r="F597" s="6">
        <v>104</v>
      </c>
      <c r="G597" s="24">
        <v>4.4000000000000004</v>
      </c>
      <c r="H597">
        <f>IF(MONTH(Table13[[#This Row],[Date of Call]])&lt;6, YEAR(Table13[[#This Row],[Date of Call]]),YEAR(Table13[[#This Row],[Date of Call]])+1)</f>
        <v>2024</v>
      </c>
      <c r="I597" t="str">
        <f>TEXT(Table13[[#This Row],[Date of Call]],"dddd")</f>
        <v>Sunday</v>
      </c>
      <c r="J5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97">
        <f>ROUND(Table13[[#This Row],[Satisfaction Rating]],0)</f>
        <v>4</v>
      </c>
    </row>
    <row r="598" spans="1:11" x14ac:dyDescent="0.3">
      <c r="A598" s="23" t="s">
        <v>639</v>
      </c>
      <c r="B598" s="6" t="s">
        <v>9</v>
      </c>
      <c r="C598" s="6">
        <v>139</v>
      </c>
      <c r="D598" s="13" t="s">
        <v>31</v>
      </c>
      <c r="E598" s="14">
        <v>45109</v>
      </c>
      <c r="F598" s="6">
        <v>81</v>
      </c>
      <c r="G598" s="24">
        <v>4.4000000000000004</v>
      </c>
      <c r="H598">
        <f>IF(MONTH(Table13[[#This Row],[Date of Call]])&lt;6, YEAR(Table13[[#This Row],[Date of Call]]),YEAR(Table13[[#This Row],[Date of Call]])+1)</f>
        <v>2024</v>
      </c>
      <c r="I598" t="str">
        <f>TEXT(Table13[[#This Row],[Date of Call]],"dddd")</f>
        <v>Sunday</v>
      </c>
      <c r="J5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598">
        <f>ROUND(Table13[[#This Row],[Satisfaction Rating]],0)</f>
        <v>4</v>
      </c>
    </row>
    <row r="599" spans="1:11" x14ac:dyDescent="0.3">
      <c r="A599" s="23" t="s">
        <v>640</v>
      </c>
      <c r="B599" s="6" t="s">
        <v>13</v>
      </c>
      <c r="C599" s="6">
        <v>109</v>
      </c>
      <c r="D599" s="13" t="s">
        <v>30</v>
      </c>
      <c r="E599" s="14">
        <v>45111</v>
      </c>
      <c r="F599" s="6">
        <v>140</v>
      </c>
      <c r="G599" s="24">
        <v>2.4</v>
      </c>
      <c r="H599">
        <f>IF(MONTH(Table13[[#This Row],[Date of Call]])&lt;6, YEAR(Table13[[#This Row],[Date of Call]]),YEAR(Table13[[#This Row],[Date of Call]])+1)</f>
        <v>2024</v>
      </c>
      <c r="I599" t="str">
        <f>TEXT(Table13[[#This Row],[Date of Call]],"dddd")</f>
        <v>Tuesday</v>
      </c>
      <c r="J5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599">
        <f>ROUND(Table13[[#This Row],[Satisfaction Rating]],0)</f>
        <v>2</v>
      </c>
    </row>
    <row r="600" spans="1:11" x14ac:dyDescent="0.3">
      <c r="A600" s="23" t="s">
        <v>641</v>
      </c>
      <c r="B600" s="6" t="s">
        <v>7</v>
      </c>
      <c r="C600" s="6">
        <v>57</v>
      </c>
      <c r="D600" s="13" t="s">
        <v>32</v>
      </c>
      <c r="E600" s="14">
        <v>45112</v>
      </c>
      <c r="F600" s="6">
        <v>120</v>
      </c>
      <c r="G600" s="24">
        <v>3.5</v>
      </c>
      <c r="H600">
        <f>IF(MONTH(Table13[[#This Row],[Date of Call]])&lt;6, YEAR(Table13[[#This Row],[Date of Call]]),YEAR(Table13[[#This Row],[Date of Call]])+1)</f>
        <v>2024</v>
      </c>
      <c r="I600" t="str">
        <f>TEXT(Table13[[#This Row],[Date of Call]],"dddd")</f>
        <v>Wednesday</v>
      </c>
      <c r="J6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00">
        <f>ROUND(Table13[[#This Row],[Satisfaction Rating]],0)</f>
        <v>4</v>
      </c>
    </row>
    <row r="601" spans="1:11" x14ac:dyDescent="0.3">
      <c r="A601" s="23" t="s">
        <v>642</v>
      </c>
      <c r="B601" s="6" t="s">
        <v>13</v>
      </c>
      <c r="C601" s="6">
        <v>68</v>
      </c>
      <c r="D601" s="13" t="s">
        <v>31</v>
      </c>
      <c r="E601" s="14">
        <v>45112</v>
      </c>
      <c r="F601" s="6">
        <v>41</v>
      </c>
      <c r="G601" s="24">
        <v>3.1</v>
      </c>
      <c r="H601">
        <f>IF(MONTH(Table13[[#This Row],[Date of Call]])&lt;6, YEAR(Table13[[#This Row],[Date of Call]]),YEAR(Table13[[#This Row],[Date of Call]])+1)</f>
        <v>2024</v>
      </c>
      <c r="I601" t="str">
        <f>TEXT(Table13[[#This Row],[Date of Call]],"dddd")</f>
        <v>Wednesday</v>
      </c>
      <c r="J6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01">
        <f>ROUND(Table13[[#This Row],[Satisfaction Rating]],0)</f>
        <v>3</v>
      </c>
    </row>
    <row r="602" spans="1:11" x14ac:dyDescent="0.3">
      <c r="A602" s="23" t="s">
        <v>643</v>
      </c>
      <c r="B602" s="6" t="s">
        <v>14</v>
      </c>
      <c r="C602" s="6">
        <v>128</v>
      </c>
      <c r="D602" s="13" t="s">
        <v>31</v>
      </c>
      <c r="E602" s="14">
        <v>45112</v>
      </c>
      <c r="F602" s="6">
        <v>116</v>
      </c>
      <c r="G602" s="24">
        <v>2.2999999999999998</v>
      </c>
      <c r="H602">
        <f>IF(MONTH(Table13[[#This Row],[Date of Call]])&lt;6, YEAR(Table13[[#This Row],[Date of Call]]),YEAR(Table13[[#This Row],[Date of Call]])+1)</f>
        <v>2024</v>
      </c>
      <c r="I602" t="str">
        <f>TEXT(Table13[[#This Row],[Date of Call]],"dddd")</f>
        <v>Wednesday</v>
      </c>
      <c r="J6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02">
        <f>ROUND(Table13[[#This Row],[Satisfaction Rating]],0)</f>
        <v>2</v>
      </c>
    </row>
    <row r="603" spans="1:11" x14ac:dyDescent="0.3">
      <c r="A603" s="23" t="s">
        <v>644</v>
      </c>
      <c r="B603" s="6" t="s">
        <v>6</v>
      </c>
      <c r="C603" s="6">
        <v>102</v>
      </c>
      <c r="D603" s="13" t="s">
        <v>32</v>
      </c>
      <c r="E603" s="14">
        <v>45113</v>
      </c>
      <c r="F603" s="6">
        <v>70</v>
      </c>
      <c r="G603" s="24">
        <v>2.8</v>
      </c>
      <c r="H603">
        <f>IF(MONTH(Table13[[#This Row],[Date of Call]])&lt;6, YEAR(Table13[[#This Row],[Date of Call]]),YEAR(Table13[[#This Row],[Date of Call]])+1)</f>
        <v>2024</v>
      </c>
      <c r="I603" t="str">
        <f>TEXT(Table13[[#This Row],[Date of Call]],"dddd")</f>
        <v>Thursday</v>
      </c>
      <c r="J6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03">
        <f>ROUND(Table13[[#This Row],[Satisfaction Rating]],0)</f>
        <v>3</v>
      </c>
    </row>
    <row r="604" spans="1:11" x14ac:dyDescent="0.3">
      <c r="A604" s="23" t="s">
        <v>645</v>
      </c>
      <c r="B604" s="6" t="s">
        <v>9</v>
      </c>
      <c r="C604" s="6">
        <v>52</v>
      </c>
      <c r="D604" s="13" t="s">
        <v>28</v>
      </c>
      <c r="E604" s="14">
        <v>45113</v>
      </c>
      <c r="F604" s="6">
        <v>42</v>
      </c>
      <c r="G604" s="24">
        <v>4.5</v>
      </c>
      <c r="H604">
        <f>IF(MONTH(Table13[[#This Row],[Date of Call]])&lt;6, YEAR(Table13[[#This Row],[Date of Call]]),YEAR(Table13[[#This Row],[Date of Call]])+1)</f>
        <v>2024</v>
      </c>
      <c r="I604" t="str">
        <f>TEXT(Table13[[#This Row],[Date of Call]],"dddd")</f>
        <v>Thursday</v>
      </c>
      <c r="J6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04">
        <f>ROUND(Table13[[#This Row],[Satisfaction Rating]],0)</f>
        <v>5</v>
      </c>
    </row>
    <row r="605" spans="1:11" x14ac:dyDescent="0.3">
      <c r="A605" s="23" t="s">
        <v>646</v>
      </c>
      <c r="B605" s="6" t="s">
        <v>14</v>
      </c>
      <c r="C605" s="6">
        <v>55</v>
      </c>
      <c r="D605" s="13" t="s">
        <v>29</v>
      </c>
      <c r="E605" s="14">
        <v>45114</v>
      </c>
      <c r="F605" s="6">
        <v>112</v>
      </c>
      <c r="G605" s="24">
        <v>4.5</v>
      </c>
      <c r="H605">
        <f>IF(MONTH(Table13[[#This Row],[Date of Call]])&lt;6, YEAR(Table13[[#This Row],[Date of Call]]),YEAR(Table13[[#This Row],[Date of Call]])+1)</f>
        <v>2024</v>
      </c>
      <c r="I605" t="str">
        <f>TEXT(Table13[[#This Row],[Date of Call]],"dddd")</f>
        <v>Friday</v>
      </c>
      <c r="J6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05">
        <f>ROUND(Table13[[#This Row],[Satisfaction Rating]],0)</f>
        <v>5</v>
      </c>
    </row>
    <row r="606" spans="1:11" x14ac:dyDescent="0.3">
      <c r="A606" s="23" t="s">
        <v>647</v>
      </c>
      <c r="B606" s="6" t="s">
        <v>17</v>
      </c>
      <c r="C606" s="6">
        <v>107</v>
      </c>
      <c r="D606" s="13" t="s">
        <v>31</v>
      </c>
      <c r="E606" s="14">
        <v>45114</v>
      </c>
      <c r="F606" s="6">
        <v>20</v>
      </c>
      <c r="G606" s="24">
        <v>4.5</v>
      </c>
      <c r="H606">
        <f>IF(MONTH(Table13[[#This Row],[Date of Call]])&lt;6, YEAR(Table13[[#This Row],[Date of Call]]),YEAR(Table13[[#This Row],[Date of Call]])+1)</f>
        <v>2024</v>
      </c>
      <c r="I606" t="str">
        <f>TEXT(Table13[[#This Row],[Date of Call]],"dddd")</f>
        <v>Friday</v>
      </c>
      <c r="J6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06">
        <f>ROUND(Table13[[#This Row],[Satisfaction Rating]],0)</f>
        <v>5</v>
      </c>
    </row>
    <row r="607" spans="1:11" x14ac:dyDescent="0.3">
      <c r="A607" s="23" t="s">
        <v>648</v>
      </c>
      <c r="B607" s="6" t="s">
        <v>5</v>
      </c>
      <c r="C607" s="6">
        <v>88</v>
      </c>
      <c r="D607" s="13" t="s">
        <v>28</v>
      </c>
      <c r="E607" s="14">
        <v>45115</v>
      </c>
      <c r="F607" s="6">
        <v>110</v>
      </c>
      <c r="G607" s="24">
        <v>4.8</v>
      </c>
      <c r="H607">
        <f>IF(MONTH(Table13[[#This Row],[Date of Call]])&lt;6, YEAR(Table13[[#This Row],[Date of Call]]),YEAR(Table13[[#This Row],[Date of Call]])+1)</f>
        <v>2024</v>
      </c>
      <c r="I607" t="str">
        <f>TEXT(Table13[[#This Row],[Date of Call]],"dddd")</f>
        <v>Saturday</v>
      </c>
      <c r="J6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07">
        <f>ROUND(Table13[[#This Row],[Satisfaction Rating]],0)</f>
        <v>5</v>
      </c>
    </row>
    <row r="608" spans="1:11" x14ac:dyDescent="0.3">
      <c r="A608" s="23" t="s">
        <v>649</v>
      </c>
      <c r="B608" s="6" t="s">
        <v>10</v>
      </c>
      <c r="C608" s="6">
        <v>49</v>
      </c>
      <c r="D608" s="13" t="s">
        <v>28</v>
      </c>
      <c r="E608" s="14">
        <v>45115</v>
      </c>
      <c r="F608" s="6">
        <v>39</v>
      </c>
      <c r="G608" s="24">
        <v>4.5999999999999996</v>
      </c>
      <c r="H608">
        <f>IF(MONTH(Table13[[#This Row],[Date of Call]])&lt;6, YEAR(Table13[[#This Row],[Date of Call]]),YEAR(Table13[[#This Row],[Date of Call]])+1)</f>
        <v>2024</v>
      </c>
      <c r="I608" t="str">
        <f>TEXT(Table13[[#This Row],[Date of Call]],"dddd")</f>
        <v>Saturday</v>
      </c>
      <c r="J6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08">
        <f>ROUND(Table13[[#This Row],[Satisfaction Rating]],0)</f>
        <v>5</v>
      </c>
    </row>
    <row r="609" spans="1:11" x14ac:dyDescent="0.3">
      <c r="A609" s="23" t="s">
        <v>650</v>
      </c>
      <c r="B609" s="6" t="s">
        <v>5</v>
      </c>
      <c r="C609" s="6">
        <v>72</v>
      </c>
      <c r="D609" s="13" t="s">
        <v>32</v>
      </c>
      <c r="E609" s="14">
        <v>45115</v>
      </c>
      <c r="F609" s="6">
        <v>76</v>
      </c>
      <c r="G609" s="24">
        <v>4.5</v>
      </c>
      <c r="H609">
        <f>IF(MONTH(Table13[[#This Row],[Date of Call]])&lt;6, YEAR(Table13[[#This Row],[Date of Call]]),YEAR(Table13[[#This Row],[Date of Call]])+1)</f>
        <v>2024</v>
      </c>
      <c r="I609" t="str">
        <f>TEXT(Table13[[#This Row],[Date of Call]],"dddd")</f>
        <v>Saturday</v>
      </c>
      <c r="J6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09">
        <f>ROUND(Table13[[#This Row],[Satisfaction Rating]],0)</f>
        <v>5</v>
      </c>
    </row>
    <row r="610" spans="1:11" x14ac:dyDescent="0.3">
      <c r="A610" s="23" t="s">
        <v>651</v>
      </c>
      <c r="B610" s="6" t="s">
        <v>7</v>
      </c>
      <c r="C610" s="6">
        <v>50</v>
      </c>
      <c r="D610" s="13" t="s">
        <v>32</v>
      </c>
      <c r="E610" s="14">
        <v>45115</v>
      </c>
      <c r="F610" s="6">
        <v>40</v>
      </c>
      <c r="G610" s="24">
        <v>5</v>
      </c>
      <c r="H610">
        <f>IF(MONTH(Table13[[#This Row],[Date of Call]])&lt;6, YEAR(Table13[[#This Row],[Date of Call]]),YEAR(Table13[[#This Row],[Date of Call]])+1)</f>
        <v>2024</v>
      </c>
      <c r="I610" t="str">
        <f>TEXT(Table13[[#This Row],[Date of Call]],"dddd")</f>
        <v>Saturday</v>
      </c>
      <c r="J6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10">
        <f>ROUND(Table13[[#This Row],[Satisfaction Rating]],0)</f>
        <v>5</v>
      </c>
    </row>
    <row r="611" spans="1:11" x14ac:dyDescent="0.3">
      <c r="A611" s="23" t="s">
        <v>652</v>
      </c>
      <c r="B611" s="6" t="s">
        <v>5</v>
      </c>
      <c r="C611" s="6">
        <v>52</v>
      </c>
      <c r="D611" s="13" t="s">
        <v>31</v>
      </c>
      <c r="E611" s="14">
        <v>45115</v>
      </c>
      <c r="F611" s="6">
        <v>42</v>
      </c>
      <c r="G611" s="24">
        <v>4.8</v>
      </c>
      <c r="H611">
        <f>IF(MONTH(Table13[[#This Row],[Date of Call]])&lt;6, YEAR(Table13[[#This Row],[Date of Call]]),YEAR(Table13[[#This Row],[Date of Call]])+1)</f>
        <v>2024</v>
      </c>
      <c r="I611" t="str">
        <f>TEXT(Table13[[#This Row],[Date of Call]],"dddd")</f>
        <v>Saturday</v>
      </c>
      <c r="J6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11">
        <f>ROUND(Table13[[#This Row],[Satisfaction Rating]],0)</f>
        <v>5</v>
      </c>
    </row>
    <row r="612" spans="1:11" x14ac:dyDescent="0.3">
      <c r="A612" s="23" t="s">
        <v>653</v>
      </c>
      <c r="B612" s="6" t="s">
        <v>8</v>
      </c>
      <c r="C612" s="6">
        <v>85</v>
      </c>
      <c r="D612" s="13" t="s">
        <v>30</v>
      </c>
      <c r="E612" s="14">
        <v>45116</v>
      </c>
      <c r="F612" s="6">
        <v>215</v>
      </c>
      <c r="G612" s="24">
        <v>3.5</v>
      </c>
      <c r="H612">
        <f>IF(MONTH(Table13[[#This Row],[Date of Call]])&lt;6, YEAR(Table13[[#This Row],[Date of Call]]),YEAR(Table13[[#This Row],[Date of Call]])+1)</f>
        <v>2024</v>
      </c>
      <c r="I612" t="str">
        <f>TEXT(Table13[[#This Row],[Date of Call]],"dddd")</f>
        <v>Sunday</v>
      </c>
      <c r="J6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12">
        <f>ROUND(Table13[[#This Row],[Satisfaction Rating]],0)</f>
        <v>4</v>
      </c>
    </row>
    <row r="613" spans="1:11" x14ac:dyDescent="0.3">
      <c r="A613" s="23" t="s">
        <v>654</v>
      </c>
      <c r="B613" s="6" t="s">
        <v>12</v>
      </c>
      <c r="C613" s="6">
        <v>98</v>
      </c>
      <c r="D613" s="13" t="s">
        <v>30</v>
      </c>
      <c r="E613" s="14">
        <v>45117</v>
      </c>
      <c r="F613" s="6">
        <v>130</v>
      </c>
      <c r="G613" s="24">
        <v>3.4</v>
      </c>
      <c r="H613">
        <f>IF(MONTH(Table13[[#This Row],[Date of Call]])&lt;6, YEAR(Table13[[#This Row],[Date of Call]]),YEAR(Table13[[#This Row],[Date of Call]])+1)</f>
        <v>2024</v>
      </c>
      <c r="I613" t="str">
        <f>TEXT(Table13[[#This Row],[Date of Call]],"dddd")</f>
        <v>Monday</v>
      </c>
      <c r="J6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13">
        <f>ROUND(Table13[[#This Row],[Satisfaction Rating]],0)</f>
        <v>3</v>
      </c>
    </row>
    <row r="614" spans="1:11" x14ac:dyDescent="0.3">
      <c r="A614" s="23" t="s">
        <v>655</v>
      </c>
      <c r="B614" s="6" t="s">
        <v>18</v>
      </c>
      <c r="C614" s="6">
        <v>52</v>
      </c>
      <c r="D614" s="13" t="s">
        <v>30</v>
      </c>
      <c r="E614" s="14">
        <v>45117</v>
      </c>
      <c r="F614" s="6">
        <v>190</v>
      </c>
      <c r="G614" s="24">
        <v>3.3</v>
      </c>
      <c r="H614">
        <f>IF(MONTH(Table13[[#This Row],[Date of Call]])&lt;6, YEAR(Table13[[#This Row],[Date of Call]]),YEAR(Table13[[#This Row],[Date of Call]])+1)</f>
        <v>2024</v>
      </c>
      <c r="I614" t="str">
        <f>TEXT(Table13[[#This Row],[Date of Call]],"dddd")</f>
        <v>Monday</v>
      </c>
      <c r="J6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14">
        <f>ROUND(Table13[[#This Row],[Satisfaction Rating]],0)</f>
        <v>3</v>
      </c>
    </row>
    <row r="615" spans="1:11" x14ac:dyDescent="0.3">
      <c r="A615" s="23" t="s">
        <v>656</v>
      </c>
      <c r="B615" s="6" t="s">
        <v>14</v>
      </c>
      <c r="C615" s="6">
        <v>154</v>
      </c>
      <c r="D615" s="13" t="s">
        <v>28</v>
      </c>
      <c r="E615" s="14">
        <v>45117</v>
      </c>
      <c r="F615" s="6">
        <v>164</v>
      </c>
      <c r="G615" s="24">
        <v>4.9000000000000004</v>
      </c>
      <c r="H615">
        <f>IF(MONTH(Table13[[#This Row],[Date of Call]])&lt;6, YEAR(Table13[[#This Row],[Date of Call]]),YEAR(Table13[[#This Row],[Date of Call]])+1)</f>
        <v>2024</v>
      </c>
      <c r="I615" t="str">
        <f>TEXT(Table13[[#This Row],[Date of Call]],"dddd")</f>
        <v>Monday</v>
      </c>
      <c r="J6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15">
        <f>ROUND(Table13[[#This Row],[Satisfaction Rating]],0)</f>
        <v>5</v>
      </c>
    </row>
    <row r="616" spans="1:11" x14ac:dyDescent="0.3">
      <c r="A616" s="23" t="s">
        <v>657</v>
      </c>
      <c r="B616" s="6" t="s">
        <v>11</v>
      </c>
      <c r="C616" s="6">
        <v>131</v>
      </c>
      <c r="D616" s="13" t="s">
        <v>29</v>
      </c>
      <c r="E616" s="14">
        <v>45118</v>
      </c>
      <c r="F616" s="6">
        <v>76</v>
      </c>
      <c r="G616" s="24">
        <v>4.5</v>
      </c>
      <c r="H616">
        <f>IF(MONTH(Table13[[#This Row],[Date of Call]])&lt;6, YEAR(Table13[[#This Row],[Date of Call]]),YEAR(Table13[[#This Row],[Date of Call]])+1)</f>
        <v>2024</v>
      </c>
      <c r="I616" t="str">
        <f>TEXT(Table13[[#This Row],[Date of Call]],"dddd")</f>
        <v>Tuesday</v>
      </c>
      <c r="J6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16">
        <f>ROUND(Table13[[#This Row],[Satisfaction Rating]],0)</f>
        <v>5</v>
      </c>
    </row>
    <row r="617" spans="1:11" x14ac:dyDescent="0.3">
      <c r="A617" s="23" t="s">
        <v>658</v>
      </c>
      <c r="B617" s="6" t="s">
        <v>8</v>
      </c>
      <c r="C617" s="6">
        <v>73</v>
      </c>
      <c r="D617" s="13" t="s">
        <v>29</v>
      </c>
      <c r="E617" s="14">
        <v>45119</v>
      </c>
      <c r="F617" s="6">
        <v>87</v>
      </c>
      <c r="G617" s="24">
        <v>4.8</v>
      </c>
      <c r="H617">
        <f>IF(MONTH(Table13[[#This Row],[Date of Call]])&lt;6, YEAR(Table13[[#This Row],[Date of Call]]),YEAR(Table13[[#This Row],[Date of Call]])+1)</f>
        <v>2024</v>
      </c>
      <c r="I617" t="str">
        <f>TEXT(Table13[[#This Row],[Date of Call]],"dddd")</f>
        <v>Wednesday</v>
      </c>
      <c r="J6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17">
        <f>ROUND(Table13[[#This Row],[Satisfaction Rating]],0)</f>
        <v>5</v>
      </c>
    </row>
    <row r="618" spans="1:11" x14ac:dyDescent="0.3">
      <c r="A618" s="23" t="s">
        <v>659</v>
      </c>
      <c r="B618" s="6" t="s">
        <v>16</v>
      </c>
      <c r="C618" s="6">
        <v>45</v>
      </c>
      <c r="D618" s="13" t="s">
        <v>30</v>
      </c>
      <c r="E618" s="14">
        <v>45119</v>
      </c>
      <c r="F618" s="6">
        <v>84</v>
      </c>
      <c r="G618" s="24">
        <v>4.8</v>
      </c>
      <c r="H618">
        <f>IF(MONTH(Table13[[#This Row],[Date of Call]])&lt;6, YEAR(Table13[[#This Row],[Date of Call]]),YEAR(Table13[[#This Row],[Date of Call]])+1)</f>
        <v>2024</v>
      </c>
      <c r="I618" t="str">
        <f>TEXT(Table13[[#This Row],[Date of Call]],"dddd")</f>
        <v>Wednesday</v>
      </c>
      <c r="J6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18">
        <f>ROUND(Table13[[#This Row],[Satisfaction Rating]],0)</f>
        <v>5</v>
      </c>
    </row>
    <row r="619" spans="1:11" x14ac:dyDescent="0.3">
      <c r="A619" s="23" t="s">
        <v>660</v>
      </c>
      <c r="B619" s="6" t="s">
        <v>9</v>
      </c>
      <c r="C619" s="6">
        <v>114</v>
      </c>
      <c r="D619" s="13" t="s">
        <v>31</v>
      </c>
      <c r="E619" s="14">
        <v>45119</v>
      </c>
      <c r="F619" s="6">
        <v>114</v>
      </c>
      <c r="G619" s="24">
        <v>3.9</v>
      </c>
      <c r="H619">
        <f>IF(MONTH(Table13[[#This Row],[Date of Call]])&lt;6, YEAR(Table13[[#This Row],[Date of Call]]),YEAR(Table13[[#This Row],[Date of Call]])+1)</f>
        <v>2024</v>
      </c>
      <c r="I619" t="str">
        <f>TEXT(Table13[[#This Row],[Date of Call]],"dddd")</f>
        <v>Wednesday</v>
      </c>
      <c r="J6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19">
        <f>ROUND(Table13[[#This Row],[Satisfaction Rating]],0)</f>
        <v>4</v>
      </c>
    </row>
    <row r="620" spans="1:11" x14ac:dyDescent="0.3">
      <c r="A620" s="23" t="s">
        <v>661</v>
      </c>
      <c r="B620" s="6" t="s">
        <v>12</v>
      </c>
      <c r="C620" s="6">
        <v>69</v>
      </c>
      <c r="D620" s="13" t="s">
        <v>29</v>
      </c>
      <c r="E620" s="14">
        <v>45120</v>
      </c>
      <c r="F620" s="6">
        <v>56</v>
      </c>
      <c r="G620" s="24">
        <v>3.9</v>
      </c>
      <c r="H620">
        <f>IF(MONTH(Table13[[#This Row],[Date of Call]])&lt;6, YEAR(Table13[[#This Row],[Date of Call]]),YEAR(Table13[[#This Row],[Date of Call]])+1)</f>
        <v>2024</v>
      </c>
      <c r="I620" t="str">
        <f>TEXT(Table13[[#This Row],[Date of Call]],"dddd")</f>
        <v>Thursday</v>
      </c>
      <c r="J6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20">
        <f>ROUND(Table13[[#This Row],[Satisfaction Rating]],0)</f>
        <v>4</v>
      </c>
    </row>
    <row r="621" spans="1:11" x14ac:dyDescent="0.3">
      <c r="A621" s="23" t="s">
        <v>662</v>
      </c>
      <c r="B621" s="6" t="s">
        <v>11</v>
      </c>
      <c r="C621" s="6">
        <v>33</v>
      </c>
      <c r="D621" s="13" t="s">
        <v>28</v>
      </c>
      <c r="E621" s="14">
        <v>45120</v>
      </c>
      <c r="F621" s="6">
        <v>27</v>
      </c>
      <c r="G621" s="24">
        <v>3.7</v>
      </c>
      <c r="H621">
        <f>IF(MONTH(Table13[[#This Row],[Date of Call]])&lt;6, YEAR(Table13[[#This Row],[Date of Call]]),YEAR(Table13[[#This Row],[Date of Call]])+1)</f>
        <v>2024</v>
      </c>
      <c r="I621" t="str">
        <f>TEXT(Table13[[#This Row],[Date of Call]],"dddd")</f>
        <v>Thursday</v>
      </c>
      <c r="J6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21">
        <f>ROUND(Table13[[#This Row],[Satisfaction Rating]],0)</f>
        <v>4</v>
      </c>
    </row>
    <row r="622" spans="1:11" x14ac:dyDescent="0.3">
      <c r="A622" s="23" t="s">
        <v>663</v>
      </c>
      <c r="B622" s="6" t="s">
        <v>7</v>
      </c>
      <c r="C622" s="6">
        <v>31</v>
      </c>
      <c r="D622" s="13" t="s">
        <v>32</v>
      </c>
      <c r="E622" s="14">
        <v>45121</v>
      </c>
      <c r="F622" s="6">
        <v>84</v>
      </c>
      <c r="G622" s="24">
        <v>4.8</v>
      </c>
      <c r="H622">
        <f>IF(MONTH(Table13[[#This Row],[Date of Call]])&lt;6, YEAR(Table13[[#This Row],[Date of Call]]),YEAR(Table13[[#This Row],[Date of Call]])+1)</f>
        <v>2024</v>
      </c>
      <c r="I622" t="str">
        <f>TEXT(Table13[[#This Row],[Date of Call]],"dddd")</f>
        <v>Friday</v>
      </c>
      <c r="J6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22">
        <f>ROUND(Table13[[#This Row],[Satisfaction Rating]],0)</f>
        <v>5</v>
      </c>
    </row>
    <row r="623" spans="1:11" x14ac:dyDescent="0.3">
      <c r="A623" s="23" t="s">
        <v>664</v>
      </c>
      <c r="B623" s="6" t="s">
        <v>16</v>
      </c>
      <c r="C623" s="6">
        <v>168</v>
      </c>
      <c r="D623" s="13" t="s">
        <v>28</v>
      </c>
      <c r="E623" s="14">
        <v>45121</v>
      </c>
      <c r="F623" s="6">
        <v>72</v>
      </c>
      <c r="G623" s="24">
        <v>3.5</v>
      </c>
      <c r="H623">
        <f>IF(MONTH(Table13[[#This Row],[Date of Call]])&lt;6, YEAR(Table13[[#This Row],[Date of Call]]),YEAR(Table13[[#This Row],[Date of Call]])+1)</f>
        <v>2024</v>
      </c>
      <c r="I623" t="str">
        <f>TEXT(Table13[[#This Row],[Date of Call]],"dddd")</f>
        <v>Friday</v>
      </c>
      <c r="J6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23">
        <f>ROUND(Table13[[#This Row],[Satisfaction Rating]],0)</f>
        <v>4</v>
      </c>
    </row>
    <row r="624" spans="1:11" x14ac:dyDescent="0.3">
      <c r="A624" s="23" t="s">
        <v>665</v>
      </c>
      <c r="B624" s="6" t="s">
        <v>8</v>
      </c>
      <c r="C624" s="6">
        <v>111</v>
      </c>
      <c r="D624" s="13" t="s">
        <v>31</v>
      </c>
      <c r="E624" s="14">
        <v>45122</v>
      </c>
      <c r="F624" s="6">
        <v>126</v>
      </c>
      <c r="G624" s="24">
        <v>4.2</v>
      </c>
      <c r="H624">
        <f>IF(MONTH(Table13[[#This Row],[Date of Call]])&lt;6, YEAR(Table13[[#This Row],[Date of Call]]),YEAR(Table13[[#This Row],[Date of Call]])+1)</f>
        <v>2024</v>
      </c>
      <c r="I624" t="str">
        <f>TEXT(Table13[[#This Row],[Date of Call]],"dddd")</f>
        <v>Saturday</v>
      </c>
      <c r="J6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24">
        <f>ROUND(Table13[[#This Row],[Satisfaction Rating]],0)</f>
        <v>4</v>
      </c>
    </row>
    <row r="625" spans="1:11" x14ac:dyDescent="0.3">
      <c r="A625" s="23" t="s">
        <v>666</v>
      </c>
      <c r="B625" s="6" t="s">
        <v>7</v>
      </c>
      <c r="C625" s="6">
        <v>80</v>
      </c>
      <c r="D625" s="13" t="s">
        <v>28</v>
      </c>
      <c r="E625" s="14">
        <v>45123</v>
      </c>
      <c r="F625" s="6">
        <v>88</v>
      </c>
      <c r="G625" s="24">
        <v>4.9000000000000004</v>
      </c>
      <c r="H625">
        <f>IF(MONTH(Table13[[#This Row],[Date of Call]])&lt;6, YEAR(Table13[[#This Row],[Date of Call]]),YEAR(Table13[[#This Row],[Date of Call]])+1)</f>
        <v>2024</v>
      </c>
      <c r="I625" t="str">
        <f>TEXT(Table13[[#This Row],[Date of Call]],"dddd")</f>
        <v>Sunday</v>
      </c>
      <c r="J6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25">
        <f>ROUND(Table13[[#This Row],[Satisfaction Rating]],0)</f>
        <v>5</v>
      </c>
    </row>
    <row r="626" spans="1:11" x14ac:dyDescent="0.3">
      <c r="A626" s="23" t="s">
        <v>667</v>
      </c>
      <c r="B626" s="6" t="s">
        <v>6</v>
      </c>
      <c r="C626" s="6">
        <v>37</v>
      </c>
      <c r="D626" s="13" t="s">
        <v>28</v>
      </c>
      <c r="E626" s="14">
        <v>45123</v>
      </c>
      <c r="F626" s="6">
        <v>124</v>
      </c>
      <c r="G626" s="24">
        <v>4.5999999999999996</v>
      </c>
      <c r="H626">
        <f>IF(MONTH(Table13[[#This Row],[Date of Call]])&lt;6, YEAR(Table13[[#This Row],[Date of Call]]),YEAR(Table13[[#This Row],[Date of Call]])+1)</f>
        <v>2024</v>
      </c>
      <c r="I626" t="str">
        <f>TEXT(Table13[[#This Row],[Date of Call]],"dddd")</f>
        <v>Sunday</v>
      </c>
      <c r="J6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26">
        <f>ROUND(Table13[[#This Row],[Satisfaction Rating]],0)</f>
        <v>5</v>
      </c>
    </row>
    <row r="627" spans="1:11" x14ac:dyDescent="0.3">
      <c r="A627" s="23" t="s">
        <v>668</v>
      </c>
      <c r="B627" s="6" t="s">
        <v>4</v>
      </c>
      <c r="C627" s="6">
        <v>137</v>
      </c>
      <c r="D627" s="13" t="s">
        <v>28</v>
      </c>
      <c r="E627" s="14">
        <v>45124</v>
      </c>
      <c r="F627" s="6">
        <v>84</v>
      </c>
      <c r="G627" s="24">
        <v>2.6</v>
      </c>
      <c r="H627">
        <f>IF(MONTH(Table13[[#This Row],[Date of Call]])&lt;6, YEAR(Table13[[#This Row],[Date of Call]]),YEAR(Table13[[#This Row],[Date of Call]])+1)</f>
        <v>2024</v>
      </c>
      <c r="I627" t="str">
        <f>TEXT(Table13[[#This Row],[Date of Call]],"dddd")</f>
        <v>Monday</v>
      </c>
      <c r="J6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27">
        <f>ROUND(Table13[[#This Row],[Satisfaction Rating]],0)</f>
        <v>3</v>
      </c>
    </row>
    <row r="628" spans="1:11" x14ac:dyDescent="0.3">
      <c r="A628" s="23" t="s">
        <v>669</v>
      </c>
      <c r="B628" s="6" t="s">
        <v>12</v>
      </c>
      <c r="C628" s="6">
        <v>123</v>
      </c>
      <c r="D628" s="13" t="s">
        <v>31</v>
      </c>
      <c r="E628" s="14">
        <v>45124</v>
      </c>
      <c r="F628" s="6">
        <v>80</v>
      </c>
      <c r="G628" s="24">
        <v>2.7</v>
      </c>
      <c r="H628">
        <f>IF(MONTH(Table13[[#This Row],[Date of Call]])&lt;6, YEAR(Table13[[#This Row],[Date of Call]]),YEAR(Table13[[#This Row],[Date of Call]])+1)</f>
        <v>2024</v>
      </c>
      <c r="I628" t="str">
        <f>TEXT(Table13[[#This Row],[Date of Call]],"dddd")</f>
        <v>Monday</v>
      </c>
      <c r="J6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28">
        <f>ROUND(Table13[[#This Row],[Satisfaction Rating]],0)</f>
        <v>3</v>
      </c>
    </row>
    <row r="629" spans="1:11" x14ac:dyDescent="0.3">
      <c r="A629" s="23" t="s">
        <v>670</v>
      </c>
      <c r="B629" s="6" t="s">
        <v>15</v>
      </c>
      <c r="C629" s="6">
        <v>105</v>
      </c>
      <c r="D629" s="13" t="s">
        <v>31</v>
      </c>
      <c r="E629" s="14">
        <v>45125</v>
      </c>
      <c r="F629" s="6">
        <v>176</v>
      </c>
      <c r="G629" s="24">
        <v>4.7</v>
      </c>
      <c r="H629">
        <f>IF(MONTH(Table13[[#This Row],[Date of Call]])&lt;6, YEAR(Table13[[#This Row],[Date of Call]]),YEAR(Table13[[#This Row],[Date of Call]])+1)</f>
        <v>2024</v>
      </c>
      <c r="I629" t="str">
        <f>TEXT(Table13[[#This Row],[Date of Call]],"dddd")</f>
        <v>Tuesday</v>
      </c>
      <c r="J6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29">
        <f>ROUND(Table13[[#This Row],[Satisfaction Rating]],0)</f>
        <v>5</v>
      </c>
    </row>
    <row r="630" spans="1:11" x14ac:dyDescent="0.3">
      <c r="A630" s="23" t="s">
        <v>671</v>
      </c>
      <c r="B630" s="6" t="s">
        <v>6</v>
      </c>
      <c r="C630" s="6">
        <v>76</v>
      </c>
      <c r="D630" s="13" t="s">
        <v>30</v>
      </c>
      <c r="E630" s="14">
        <v>45126</v>
      </c>
      <c r="F630" s="6">
        <v>84</v>
      </c>
      <c r="G630" s="24">
        <v>3.9</v>
      </c>
      <c r="H630">
        <f>IF(MONTH(Table13[[#This Row],[Date of Call]])&lt;6, YEAR(Table13[[#This Row],[Date of Call]]),YEAR(Table13[[#This Row],[Date of Call]])+1)</f>
        <v>2024</v>
      </c>
      <c r="I630" t="str">
        <f>TEXT(Table13[[#This Row],[Date of Call]],"dddd")</f>
        <v>Wednesday</v>
      </c>
      <c r="J6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30">
        <f>ROUND(Table13[[#This Row],[Satisfaction Rating]],0)</f>
        <v>4</v>
      </c>
    </row>
    <row r="631" spans="1:11" x14ac:dyDescent="0.3">
      <c r="A631" s="23" t="s">
        <v>672</v>
      </c>
      <c r="B631" s="6" t="s">
        <v>7</v>
      </c>
      <c r="C631" s="6">
        <v>144</v>
      </c>
      <c r="D631" s="13" t="s">
        <v>30</v>
      </c>
      <c r="E631" s="14">
        <v>45126</v>
      </c>
      <c r="F631" s="6">
        <v>164</v>
      </c>
      <c r="G631" s="24">
        <v>2.8</v>
      </c>
      <c r="H631">
        <f>IF(MONTH(Table13[[#This Row],[Date of Call]])&lt;6, YEAR(Table13[[#This Row],[Date of Call]]),YEAR(Table13[[#This Row],[Date of Call]])+1)</f>
        <v>2024</v>
      </c>
      <c r="I631" t="str">
        <f>TEXT(Table13[[#This Row],[Date of Call]],"dddd")</f>
        <v>Wednesday</v>
      </c>
      <c r="J6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31">
        <f>ROUND(Table13[[#This Row],[Satisfaction Rating]],0)</f>
        <v>3</v>
      </c>
    </row>
    <row r="632" spans="1:11" x14ac:dyDescent="0.3">
      <c r="A632" s="23" t="s">
        <v>673</v>
      </c>
      <c r="B632" s="6" t="s">
        <v>11</v>
      </c>
      <c r="C632" s="6">
        <v>109</v>
      </c>
      <c r="D632" s="13" t="s">
        <v>32</v>
      </c>
      <c r="E632" s="14">
        <v>45126</v>
      </c>
      <c r="F632" s="6">
        <v>132</v>
      </c>
      <c r="G632" s="24">
        <v>3.1</v>
      </c>
      <c r="H632">
        <f>IF(MONTH(Table13[[#This Row],[Date of Call]])&lt;6, YEAR(Table13[[#This Row],[Date of Call]]),YEAR(Table13[[#This Row],[Date of Call]])+1)</f>
        <v>2024</v>
      </c>
      <c r="I632" t="str">
        <f>TEXT(Table13[[#This Row],[Date of Call]],"dddd")</f>
        <v>Wednesday</v>
      </c>
      <c r="J6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32">
        <f>ROUND(Table13[[#This Row],[Satisfaction Rating]],0)</f>
        <v>3</v>
      </c>
    </row>
    <row r="633" spans="1:11" x14ac:dyDescent="0.3">
      <c r="A633" s="23" t="s">
        <v>674</v>
      </c>
      <c r="B633" s="6" t="s">
        <v>12</v>
      </c>
      <c r="C633" s="6">
        <v>172</v>
      </c>
      <c r="D633" s="13" t="s">
        <v>28</v>
      </c>
      <c r="E633" s="14">
        <v>45127</v>
      </c>
      <c r="F633" s="6">
        <v>27</v>
      </c>
      <c r="G633" s="24">
        <v>4.2</v>
      </c>
      <c r="H633">
        <f>IF(MONTH(Table13[[#This Row],[Date of Call]])&lt;6, YEAR(Table13[[#This Row],[Date of Call]]),YEAR(Table13[[#This Row],[Date of Call]])+1)</f>
        <v>2024</v>
      </c>
      <c r="I633" t="str">
        <f>TEXT(Table13[[#This Row],[Date of Call]],"dddd")</f>
        <v>Thursday</v>
      </c>
      <c r="J6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33">
        <f>ROUND(Table13[[#This Row],[Satisfaction Rating]],0)</f>
        <v>4</v>
      </c>
    </row>
    <row r="634" spans="1:11" x14ac:dyDescent="0.3">
      <c r="A634" s="23" t="s">
        <v>675</v>
      </c>
      <c r="B634" s="6" t="s">
        <v>7</v>
      </c>
      <c r="C634" s="6">
        <v>56</v>
      </c>
      <c r="D634" s="13" t="s">
        <v>31</v>
      </c>
      <c r="E634" s="14">
        <v>45127</v>
      </c>
      <c r="F634" s="6">
        <v>27</v>
      </c>
      <c r="G634" s="24">
        <v>4.3</v>
      </c>
      <c r="H634">
        <f>IF(MONTH(Table13[[#This Row],[Date of Call]])&lt;6, YEAR(Table13[[#This Row],[Date of Call]]),YEAR(Table13[[#This Row],[Date of Call]])+1)</f>
        <v>2024</v>
      </c>
      <c r="I634" t="str">
        <f>TEXT(Table13[[#This Row],[Date of Call]],"dddd")</f>
        <v>Thursday</v>
      </c>
      <c r="J6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34">
        <f>ROUND(Table13[[#This Row],[Satisfaction Rating]],0)</f>
        <v>4</v>
      </c>
    </row>
    <row r="635" spans="1:11" x14ac:dyDescent="0.3">
      <c r="A635" s="23" t="s">
        <v>676</v>
      </c>
      <c r="B635" s="6" t="s">
        <v>7</v>
      </c>
      <c r="C635" s="6">
        <v>121</v>
      </c>
      <c r="D635" s="13" t="s">
        <v>29</v>
      </c>
      <c r="E635" s="14">
        <v>45127</v>
      </c>
      <c r="F635" s="6">
        <v>20</v>
      </c>
      <c r="G635" s="24">
        <v>2.7</v>
      </c>
      <c r="H635">
        <f>IF(MONTH(Table13[[#This Row],[Date of Call]])&lt;6, YEAR(Table13[[#This Row],[Date of Call]]),YEAR(Table13[[#This Row],[Date of Call]])+1)</f>
        <v>2024</v>
      </c>
      <c r="I635" t="str">
        <f>TEXT(Table13[[#This Row],[Date of Call]],"dddd")</f>
        <v>Thursday</v>
      </c>
      <c r="J6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35">
        <f>ROUND(Table13[[#This Row],[Satisfaction Rating]],0)</f>
        <v>3</v>
      </c>
    </row>
    <row r="636" spans="1:11" x14ac:dyDescent="0.3">
      <c r="A636" s="23" t="s">
        <v>677</v>
      </c>
      <c r="B636" s="6" t="s">
        <v>12</v>
      </c>
      <c r="C636" s="6">
        <v>41</v>
      </c>
      <c r="D636" s="13" t="s">
        <v>31</v>
      </c>
      <c r="E636" s="14">
        <v>45128</v>
      </c>
      <c r="F636" s="6">
        <v>112</v>
      </c>
      <c r="G636" s="24">
        <v>2.2999999999999998</v>
      </c>
      <c r="H636">
        <f>IF(MONTH(Table13[[#This Row],[Date of Call]])&lt;6, YEAR(Table13[[#This Row],[Date of Call]]),YEAR(Table13[[#This Row],[Date of Call]])+1)</f>
        <v>2024</v>
      </c>
      <c r="I636" t="str">
        <f>TEXT(Table13[[#This Row],[Date of Call]],"dddd")</f>
        <v>Friday</v>
      </c>
      <c r="J6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36">
        <f>ROUND(Table13[[#This Row],[Satisfaction Rating]],0)</f>
        <v>2</v>
      </c>
    </row>
    <row r="637" spans="1:11" x14ac:dyDescent="0.3">
      <c r="A637" s="23" t="s">
        <v>678</v>
      </c>
      <c r="B637" s="6" t="s">
        <v>17</v>
      </c>
      <c r="C637" s="6">
        <v>60</v>
      </c>
      <c r="D637" s="13" t="s">
        <v>28</v>
      </c>
      <c r="E637" s="14">
        <v>45128</v>
      </c>
      <c r="F637" s="6">
        <v>60</v>
      </c>
      <c r="G637" s="24">
        <v>2.2999999999999998</v>
      </c>
      <c r="H637">
        <f>IF(MONTH(Table13[[#This Row],[Date of Call]])&lt;6, YEAR(Table13[[#This Row],[Date of Call]]),YEAR(Table13[[#This Row],[Date of Call]])+1)</f>
        <v>2024</v>
      </c>
      <c r="I637" t="str">
        <f>TEXT(Table13[[#This Row],[Date of Call]],"dddd")</f>
        <v>Friday</v>
      </c>
      <c r="J6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37">
        <f>ROUND(Table13[[#This Row],[Satisfaction Rating]],0)</f>
        <v>2</v>
      </c>
    </row>
    <row r="638" spans="1:11" x14ac:dyDescent="0.3">
      <c r="A638" s="23" t="s">
        <v>679</v>
      </c>
      <c r="B638" s="6" t="s">
        <v>17</v>
      </c>
      <c r="C638" s="6">
        <v>144</v>
      </c>
      <c r="D638" s="13" t="s">
        <v>28</v>
      </c>
      <c r="E638" s="14">
        <v>45129</v>
      </c>
      <c r="F638" s="6">
        <v>102</v>
      </c>
      <c r="G638" s="24">
        <v>2.9</v>
      </c>
      <c r="H638">
        <f>IF(MONTH(Table13[[#This Row],[Date of Call]])&lt;6, YEAR(Table13[[#This Row],[Date of Call]]),YEAR(Table13[[#This Row],[Date of Call]])+1)</f>
        <v>2024</v>
      </c>
      <c r="I638" t="str">
        <f>TEXT(Table13[[#This Row],[Date of Call]],"dddd")</f>
        <v>Saturday</v>
      </c>
      <c r="J6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38">
        <f>ROUND(Table13[[#This Row],[Satisfaction Rating]],0)</f>
        <v>3</v>
      </c>
    </row>
    <row r="639" spans="1:11" x14ac:dyDescent="0.3">
      <c r="A639" s="23" t="s">
        <v>680</v>
      </c>
      <c r="B639" s="6" t="s">
        <v>14</v>
      </c>
      <c r="C639" s="6">
        <v>67</v>
      </c>
      <c r="D639" s="13" t="s">
        <v>28</v>
      </c>
      <c r="E639" s="14">
        <v>45129</v>
      </c>
      <c r="F639" s="6">
        <v>38</v>
      </c>
      <c r="G639" s="24">
        <v>4.2</v>
      </c>
      <c r="H639">
        <f>IF(MONTH(Table13[[#This Row],[Date of Call]])&lt;6, YEAR(Table13[[#This Row],[Date of Call]]),YEAR(Table13[[#This Row],[Date of Call]])+1)</f>
        <v>2024</v>
      </c>
      <c r="I639" t="str">
        <f>TEXT(Table13[[#This Row],[Date of Call]],"dddd")</f>
        <v>Saturday</v>
      </c>
      <c r="J6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39">
        <f>ROUND(Table13[[#This Row],[Satisfaction Rating]],0)</f>
        <v>4</v>
      </c>
    </row>
    <row r="640" spans="1:11" x14ac:dyDescent="0.3">
      <c r="A640" s="23" t="s">
        <v>681</v>
      </c>
      <c r="B640" s="6" t="s">
        <v>12</v>
      </c>
      <c r="C640" s="6">
        <v>162</v>
      </c>
      <c r="D640" s="13" t="s">
        <v>32</v>
      </c>
      <c r="E640" s="14">
        <v>45129</v>
      </c>
      <c r="F640" s="6">
        <v>82</v>
      </c>
      <c r="G640" s="24">
        <v>4.5999999999999996</v>
      </c>
      <c r="H640">
        <f>IF(MONTH(Table13[[#This Row],[Date of Call]])&lt;6, YEAR(Table13[[#This Row],[Date of Call]]),YEAR(Table13[[#This Row],[Date of Call]])+1)</f>
        <v>2024</v>
      </c>
      <c r="I640" t="str">
        <f>TEXT(Table13[[#This Row],[Date of Call]],"dddd")</f>
        <v>Saturday</v>
      </c>
      <c r="J6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40">
        <f>ROUND(Table13[[#This Row],[Satisfaction Rating]],0)</f>
        <v>5</v>
      </c>
    </row>
    <row r="641" spans="1:11" x14ac:dyDescent="0.3">
      <c r="A641" s="23" t="s">
        <v>682</v>
      </c>
      <c r="B641" s="6" t="s">
        <v>17</v>
      </c>
      <c r="C641" s="6">
        <v>87</v>
      </c>
      <c r="D641" s="13" t="s">
        <v>29</v>
      </c>
      <c r="E641" s="14">
        <v>45132</v>
      </c>
      <c r="F641" s="6">
        <v>125</v>
      </c>
      <c r="G641" s="24">
        <v>4.5</v>
      </c>
      <c r="H641">
        <f>IF(MONTH(Table13[[#This Row],[Date of Call]])&lt;6, YEAR(Table13[[#This Row],[Date of Call]]),YEAR(Table13[[#This Row],[Date of Call]])+1)</f>
        <v>2024</v>
      </c>
      <c r="I641" t="str">
        <f>TEXT(Table13[[#This Row],[Date of Call]],"dddd")</f>
        <v>Tuesday</v>
      </c>
      <c r="J6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1">
        <f>ROUND(Table13[[#This Row],[Satisfaction Rating]],0)</f>
        <v>5</v>
      </c>
    </row>
    <row r="642" spans="1:11" x14ac:dyDescent="0.3">
      <c r="A642" s="23" t="s">
        <v>683</v>
      </c>
      <c r="B642" s="6" t="s">
        <v>18</v>
      </c>
      <c r="C642" s="6">
        <v>10</v>
      </c>
      <c r="D642" s="13" t="s">
        <v>30</v>
      </c>
      <c r="E642" s="14">
        <v>45133</v>
      </c>
      <c r="F642" s="6">
        <v>72</v>
      </c>
      <c r="G642" s="24">
        <v>3.7</v>
      </c>
      <c r="H642">
        <f>IF(MONTH(Table13[[#This Row],[Date of Call]])&lt;6, YEAR(Table13[[#This Row],[Date of Call]]),YEAR(Table13[[#This Row],[Date of Call]])+1)</f>
        <v>2024</v>
      </c>
      <c r="I642" t="str">
        <f>TEXT(Table13[[#This Row],[Date of Call]],"dddd")</f>
        <v>Wednesday</v>
      </c>
      <c r="J6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642">
        <f>ROUND(Table13[[#This Row],[Satisfaction Rating]],0)</f>
        <v>4</v>
      </c>
    </row>
    <row r="643" spans="1:11" x14ac:dyDescent="0.3">
      <c r="A643" s="23" t="s">
        <v>684</v>
      </c>
      <c r="B643" s="6" t="s">
        <v>7</v>
      </c>
      <c r="C643" s="6">
        <v>138</v>
      </c>
      <c r="D643" s="13" t="s">
        <v>30</v>
      </c>
      <c r="E643" s="14">
        <v>45133</v>
      </c>
      <c r="F643" s="6">
        <v>195</v>
      </c>
      <c r="G643" s="24">
        <v>4.0999999999999996</v>
      </c>
      <c r="H643">
        <f>IF(MONTH(Table13[[#This Row],[Date of Call]])&lt;6, YEAR(Table13[[#This Row],[Date of Call]]),YEAR(Table13[[#This Row],[Date of Call]])+1)</f>
        <v>2024</v>
      </c>
      <c r="I643" t="str">
        <f>TEXT(Table13[[#This Row],[Date of Call]],"dddd")</f>
        <v>Wednesday</v>
      </c>
      <c r="J6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43">
        <f>ROUND(Table13[[#This Row],[Satisfaction Rating]],0)</f>
        <v>4</v>
      </c>
    </row>
    <row r="644" spans="1:11" x14ac:dyDescent="0.3">
      <c r="A644" s="23" t="s">
        <v>685</v>
      </c>
      <c r="B644" s="6" t="s">
        <v>12</v>
      </c>
      <c r="C644" s="6">
        <v>31</v>
      </c>
      <c r="D644" s="13" t="s">
        <v>30</v>
      </c>
      <c r="E644" s="14">
        <v>45134</v>
      </c>
      <c r="F644" s="6">
        <v>160</v>
      </c>
      <c r="G644" s="24">
        <v>3.4</v>
      </c>
      <c r="H644">
        <f>IF(MONTH(Table13[[#This Row],[Date of Call]])&lt;6, YEAR(Table13[[#This Row],[Date of Call]]),YEAR(Table13[[#This Row],[Date of Call]])+1)</f>
        <v>2024</v>
      </c>
      <c r="I644" t="str">
        <f>TEXT(Table13[[#This Row],[Date of Call]],"dddd")</f>
        <v>Thursday</v>
      </c>
      <c r="J6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44">
        <f>ROUND(Table13[[#This Row],[Satisfaction Rating]],0)</f>
        <v>3</v>
      </c>
    </row>
    <row r="645" spans="1:11" x14ac:dyDescent="0.3">
      <c r="A645" s="23" t="s">
        <v>686</v>
      </c>
      <c r="B645" s="6" t="s">
        <v>15</v>
      </c>
      <c r="C645" s="6">
        <v>75</v>
      </c>
      <c r="D645" s="13" t="s">
        <v>32</v>
      </c>
      <c r="E645" s="14">
        <v>45134</v>
      </c>
      <c r="F645" s="6">
        <v>78</v>
      </c>
      <c r="G645" s="24">
        <v>3.3</v>
      </c>
      <c r="H645">
        <f>IF(MONTH(Table13[[#This Row],[Date of Call]])&lt;6, YEAR(Table13[[#This Row],[Date of Call]]),YEAR(Table13[[#This Row],[Date of Call]])+1)</f>
        <v>2024</v>
      </c>
      <c r="I645" t="str">
        <f>TEXT(Table13[[#This Row],[Date of Call]],"dddd")</f>
        <v>Thursday</v>
      </c>
      <c r="J6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5">
        <f>ROUND(Table13[[#This Row],[Satisfaction Rating]],0)</f>
        <v>3</v>
      </c>
    </row>
    <row r="646" spans="1:11" x14ac:dyDescent="0.3">
      <c r="A646" s="23" t="s">
        <v>687</v>
      </c>
      <c r="B646" s="6" t="s">
        <v>6</v>
      </c>
      <c r="C646" s="6">
        <v>65</v>
      </c>
      <c r="D646" s="13" t="s">
        <v>32</v>
      </c>
      <c r="E646" s="14">
        <v>45135</v>
      </c>
      <c r="F646" s="6">
        <v>70</v>
      </c>
      <c r="G646" s="24">
        <v>4.4000000000000004</v>
      </c>
      <c r="H646">
        <f>IF(MONTH(Table13[[#This Row],[Date of Call]])&lt;6, YEAR(Table13[[#This Row],[Date of Call]]),YEAR(Table13[[#This Row],[Date of Call]])+1)</f>
        <v>2024</v>
      </c>
      <c r="I646" t="str">
        <f>TEXT(Table13[[#This Row],[Date of Call]],"dddd")</f>
        <v>Friday</v>
      </c>
      <c r="J6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6">
        <f>ROUND(Table13[[#This Row],[Satisfaction Rating]],0)</f>
        <v>4</v>
      </c>
    </row>
    <row r="647" spans="1:11" x14ac:dyDescent="0.3">
      <c r="A647" s="23" t="s">
        <v>688</v>
      </c>
      <c r="B647" s="6" t="s">
        <v>8</v>
      </c>
      <c r="C647" s="6">
        <v>106</v>
      </c>
      <c r="D647" s="13" t="s">
        <v>31</v>
      </c>
      <c r="E647" s="14">
        <v>45135</v>
      </c>
      <c r="F647" s="6">
        <v>105</v>
      </c>
      <c r="G647" s="24">
        <v>4.2</v>
      </c>
      <c r="H647">
        <f>IF(MONTH(Table13[[#This Row],[Date of Call]])&lt;6, YEAR(Table13[[#This Row],[Date of Call]]),YEAR(Table13[[#This Row],[Date of Call]])+1)</f>
        <v>2024</v>
      </c>
      <c r="I647" t="str">
        <f>TEXT(Table13[[#This Row],[Date of Call]],"dddd")</f>
        <v>Friday</v>
      </c>
      <c r="J6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7">
        <f>ROUND(Table13[[#This Row],[Satisfaction Rating]],0)</f>
        <v>4</v>
      </c>
    </row>
    <row r="648" spans="1:11" x14ac:dyDescent="0.3">
      <c r="A648" s="23" t="s">
        <v>689</v>
      </c>
      <c r="B648" s="6" t="s">
        <v>6</v>
      </c>
      <c r="C648" s="6">
        <v>107</v>
      </c>
      <c r="D648" s="13" t="s">
        <v>31</v>
      </c>
      <c r="E648" s="14">
        <v>45136</v>
      </c>
      <c r="F648" s="6">
        <v>78</v>
      </c>
      <c r="G648" s="24">
        <v>3.4</v>
      </c>
      <c r="H648">
        <f>IF(MONTH(Table13[[#This Row],[Date of Call]])&lt;6, YEAR(Table13[[#This Row],[Date of Call]]),YEAR(Table13[[#This Row],[Date of Call]])+1)</f>
        <v>2024</v>
      </c>
      <c r="I648" t="str">
        <f>TEXT(Table13[[#This Row],[Date of Call]],"dddd")</f>
        <v>Saturday</v>
      </c>
      <c r="J6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8">
        <f>ROUND(Table13[[#This Row],[Satisfaction Rating]],0)</f>
        <v>3</v>
      </c>
    </row>
    <row r="649" spans="1:11" x14ac:dyDescent="0.3">
      <c r="A649" s="23" t="s">
        <v>690</v>
      </c>
      <c r="B649" s="6" t="s">
        <v>4</v>
      </c>
      <c r="C649" s="6">
        <v>78</v>
      </c>
      <c r="D649" s="13" t="s">
        <v>31</v>
      </c>
      <c r="E649" s="14">
        <v>45138</v>
      </c>
      <c r="F649" s="6">
        <v>205</v>
      </c>
      <c r="G649" s="24">
        <v>4.4000000000000004</v>
      </c>
      <c r="H649">
        <f>IF(MONTH(Table13[[#This Row],[Date of Call]])&lt;6, YEAR(Table13[[#This Row],[Date of Call]]),YEAR(Table13[[#This Row],[Date of Call]])+1)</f>
        <v>2024</v>
      </c>
      <c r="I649" t="str">
        <f>TEXT(Table13[[#This Row],[Date of Call]],"dddd")</f>
        <v>Monday</v>
      </c>
      <c r="J6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49">
        <f>ROUND(Table13[[#This Row],[Satisfaction Rating]],0)</f>
        <v>4</v>
      </c>
    </row>
    <row r="650" spans="1:11" x14ac:dyDescent="0.3">
      <c r="A650" s="23" t="s">
        <v>691</v>
      </c>
      <c r="B650" s="6" t="s">
        <v>5</v>
      </c>
      <c r="C650" s="6">
        <v>122</v>
      </c>
      <c r="D650" s="13" t="s">
        <v>31</v>
      </c>
      <c r="E650" s="14">
        <v>45138</v>
      </c>
      <c r="F650" s="6">
        <v>78</v>
      </c>
      <c r="G650" s="24">
        <v>2.7</v>
      </c>
      <c r="H650">
        <f>IF(MONTH(Table13[[#This Row],[Date of Call]])&lt;6, YEAR(Table13[[#This Row],[Date of Call]]),YEAR(Table13[[#This Row],[Date of Call]])+1)</f>
        <v>2024</v>
      </c>
      <c r="I650" t="str">
        <f>TEXT(Table13[[#This Row],[Date of Call]],"dddd")</f>
        <v>Monday</v>
      </c>
      <c r="J6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50">
        <f>ROUND(Table13[[#This Row],[Satisfaction Rating]],0)</f>
        <v>3</v>
      </c>
    </row>
    <row r="651" spans="1:11" x14ac:dyDescent="0.3">
      <c r="A651" s="23" t="s">
        <v>692</v>
      </c>
      <c r="B651" s="6" t="s">
        <v>7</v>
      </c>
      <c r="C651" s="6">
        <v>58</v>
      </c>
      <c r="D651" s="13" t="s">
        <v>30</v>
      </c>
      <c r="E651" s="14">
        <v>45138</v>
      </c>
      <c r="F651" s="6">
        <v>38</v>
      </c>
      <c r="G651" s="24">
        <v>4.5</v>
      </c>
      <c r="H651">
        <f>IF(MONTH(Table13[[#This Row],[Date of Call]])&lt;6, YEAR(Table13[[#This Row],[Date of Call]]),YEAR(Table13[[#This Row],[Date of Call]])+1)</f>
        <v>2024</v>
      </c>
      <c r="I651" t="str">
        <f>TEXT(Table13[[#This Row],[Date of Call]],"dddd")</f>
        <v>Monday</v>
      </c>
      <c r="J6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51">
        <f>ROUND(Table13[[#This Row],[Satisfaction Rating]],0)</f>
        <v>5</v>
      </c>
    </row>
    <row r="652" spans="1:11" x14ac:dyDescent="0.3">
      <c r="A652" s="23" t="s">
        <v>693</v>
      </c>
      <c r="B652" s="6" t="s">
        <v>4</v>
      </c>
      <c r="C652" s="6">
        <v>33</v>
      </c>
      <c r="D652" s="13" t="s">
        <v>28</v>
      </c>
      <c r="E652" s="14">
        <v>45138</v>
      </c>
      <c r="F652" s="6">
        <v>92</v>
      </c>
      <c r="G652" s="24">
        <v>1.7</v>
      </c>
      <c r="H652">
        <f>IF(MONTH(Table13[[#This Row],[Date of Call]])&lt;6, YEAR(Table13[[#This Row],[Date of Call]]),YEAR(Table13[[#This Row],[Date of Call]])+1)</f>
        <v>2024</v>
      </c>
      <c r="I652" t="str">
        <f>TEXT(Table13[[#This Row],[Date of Call]],"dddd")</f>
        <v>Monday</v>
      </c>
      <c r="J6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52">
        <f>ROUND(Table13[[#This Row],[Satisfaction Rating]],0)</f>
        <v>2</v>
      </c>
    </row>
    <row r="653" spans="1:11" x14ac:dyDescent="0.3">
      <c r="A653" s="23" t="s">
        <v>694</v>
      </c>
      <c r="B653" s="6" t="s">
        <v>11</v>
      </c>
      <c r="C653" s="6">
        <v>164</v>
      </c>
      <c r="D653" s="13" t="s">
        <v>32</v>
      </c>
      <c r="E653" s="14">
        <v>45138</v>
      </c>
      <c r="F653" s="6">
        <v>36</v>
      </c>
      <c r="G653" s="24">
        <v>4.7</v>
      </c>
      <c r="H653">
        <f>IF(MONTH(Table13[[#This Row],[Date of Call]])&lt;6, YEAR(Table13[[#This Row],[Date of Call]]),YEAR(Table13[[#This Row],[Date of Call]])+1)</f>
        <v>2024</v>
      </c>
      <c r="I653" t="str">
        <f>TEXT(Table13[[#This Row],[Date of Call]],"dddd")</f>
        <v>Monday</v>
      </c>
      <c r="J6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53">
        <f>ROUND(Table13[[#This Row],[Satisfaction Rating]],0)</f>
        <v>5</v>
      </c>
    </row>
    <row r="654" spans="1:11" x14ac:dyDescent="0.3">
      <c r="A654" s="23" t="s">
        <v>695</v>
      </c>
      <c r="B654" s="6" t="s">
        <v>15</v>
      </c>
      <c r="C654" s="6">
        <v>163</v>
      </c>
      <c r="D654" s="13" t="s">
        <v>29</v>
      </c>
      <c r="E654" s="14">
        <v>45138</v>
      </c>
      <c r="F654" s="6">
        <v>76</v>
      </c>
      <c r="G654" s="24">
        <v>4.4000000000000004</v>
      </c>
      <c r="H654">
        <f>IF(MONTH(Table13[[#This Row],[Date of Call]])&lt;6, YEAR(Table13[[#This Row],[Date of Call]]),YEAR(Table13[[#This Row],[Date of Call]])+1)</f>
        <v>2024</v>
      </c>
      <c r="I654" t="str">
        <f>TEXT(Table13[[#This Row],[Date of Call]],"dddd")</f>
        <v>Monday</v>
      </c>
      <c r="J6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54">
        <f>ROUND(Table13[[#This Row],[Satisfaction Rating]],0)</f>
        <v>4</v>
      </c>
    </row>
    <row r="655" spans="1:11" x14ac:dyDescent="0.3">
      <c r="A655" s="23" t="s">
        <v>696</v>
      </c>
      <c r="B655" s="6" t="s">
        <v>10</v>
      </c>
      <c r="C655" s="6">
        <v>71</v>
      </c>
      <c r="D655" s="13" t="s">
        <v>32</v>
      </c>
      <c r="E655" s="14">
        <v>45140</v>
      </c>
      <c r="F655" s="6">
        <v>170</v>
      </c>
      <c r="G655" s="24">
        <v>3.5</v>
      </c>
      <c r="H655">
        <f>IF(MONTH(Table13[[#This Row],[Date of Call]])&lt;6, YEAR(Table13[[#This Row],[Date of Call]]),YEAR(Table13[[#This Row],[Date of Call]])+1)</f>
        <v>2024</v>
      </c>
      <c r="I655" t="str">
        <f>TEXT(Table13[[#This Row],[Date of Call]],"dddd")</f>
        <v>Wednesday</v>
      </c>
      <c r="J6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55">
        <f>ROUND(Table13[[#This Row],[Satisfaction Rating]],0)</f>
        <v>4</v>
      </c>
    </row>
    <row r="656" spans="1:11" x14ac:dyDescent="0.3">
      <c r="A656" s="23" t="s">
        <v>697</v>
      </c>
      <c r="B656" s="6" t="s">
        <v>4</v>
      </c>
      <c r="C656" s="6">
        <v>103</v>
      </c>
      <c r="D656" s="13" t="s">
        <v>30</v>
      </c>
      <c r="E656" s="14">
        <v>45141</v>
      </c>
      <c r="F656" s="6">
        <v>117</v>
      </c>
      <c r="G656" s="24">
        <v>4.7</v>
      </c>
      <c r="H656">
        <f>IF(MONTH(Table13[[#This Row],[Date of Call]])&lt;6, YEAR(Table13[[#This Row],[Date of Call]]),YEAR(Table13[[#This Row],[Date of Call]])+1)</f>
        <v>2024</v>
      </c>
      <c r="I656" t="str">
        <f>TEXT(Table13[[#This Row],[Date of Call]],"dddd")</f>
        <v>Thursday</v>
      </c>
      <c r="J6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56">
        <f>ROUND(Table13[[#This Row],[Satisfaction Rating]],0)</f>
        <v>5</v>
      </c>
    </row>
    <row r="657" spans="1:11" x14ac:dyDescent="0.3">
      <c r="A657" s="23" t="s">
        <v>698</v>
      </c>
      <c r="B657" s="6" t="s">
        <v>9</v>
      </c>
      <c r="C657" s="6">
        <v>69</v>
      </c>
      <c r="D657" s="13" t="s">
        <v>29</v>
      </c>
      <c r="E657" s="14">
        <v>45141</v>
      </c>
      <c r="F657" s="6">
        <v>20</v>
      </c>
      <c r="G657" s="24">
        <v>4.3</v>
      </c>
      <c r="H657">
        <f>IF(MONTH(Table13[[#This Row],[Date of Call]])&lt;6, YEAR(Table13[[#This Row],[Date of Call]]),YEAR(Table13[[#This Row],[Date of Call]])+1)</f>
        <v>2024</v>
      </c>
      <c r="I657" t="str">
        <f>TEXT(Table13[[#This Row],[Date of Call]],"dddd")</f>
        <v>Thursday</v>
      </c>
      <c r="J6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57">
        <f>ROUND(Table13[[#This Row],[Satisfaction Rating]],0)</f>
        <v>4</v>
      </c>
    </row>
    <row r="658" spans="1:11" x14ac:dyDescent="0.3">
      <c r="A658" s="23" t="s">
        <v>699</v>
      </c>
      <c r="B658" s="6" t="s">
        <v>15</v>
      </c>
      <c r="C658" s="6">
        <v>111</v>
      </c>
      <c r="D658" s="13" t="s">
        <v>30</v>
      </c>
      <c r="E658" s="14">
        <v>45141</v>
      </c>
      <c r="F658" s="6">
        <v>99</v>
      </c>
      <c r="G658" s="24">
        <v>4.0999999999999996</v>
      </c>
      <c r="H658">
        <f>IF(MONTH(Table13[[#This Row],[Date of Call]])&lt;6, YEAR(Table13[[#This Row],[Date of Call]]),YEAR(Table13[[#This Row],[Date of Call]])+1)</f>
        <v>2024</v>
      </c>
      <c r="I658" t="str">
        <f>TEXT(Table13[[#This Row],[Date of Call]],"dddd")</f>
        <v>Thursday</v>
      </c>
      <c r="J6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58">
        <f>ROUND(Table13[[#This Row],[Satisfaction Rating]],0)</f>
        <v>4</v>
      </c>
    </row>
    <row r="659" spans="1:11" x14ac:dyDescent="0.3">
      <c r="A659" s="23" t="s">
        <v>700</v>
      </c>
      <c r="B659" s="6" t="s">
        <v>13</v>
      </c>
      <c r="C659" s="6">
        <v>97</v>
      </c>
      <c r="D659" s="13" t="s">
        <v>29</v>
      </c>
      <c r="E659" s="14">
        <v>45142</v>
      </c>
      <c r="F659" s="6">
        <v>105</v>
      </c>
      <c r="G659" s="24">
        <v>2.9</v>
      </c>
      <c r="H659">
        <f>IF(MONTH(Table13[[#This Row],[Date of Call]])&lt;6, YEAR(Table13[[#This Row],[Date of Call]]),YEAR(Table13[[#This Row],[Date of Call]])+1)</f>
        <v>2024</v>
      </c>
      <c r="I659" t="str">
        <f>TEXT(Table13[[#This Row],[Date of Call]],"dddd")</f>
        <v>Friday</v>
      </c>
      <c r="J6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59">
        <f>ROUND(Table13[[#This Row],[Satisfaction Rating]],0)</f>
        <v>3</v>
      </c>
    </row>
    <row r="660" spans="1:11" x14ac:dyDescent="0.3">
      <c r="A660" s="23" t="s">
        <v>701</v>
      </c>
      <c r="B660" s="6" t="s">
        <v>16</v>
      </c>
      <c r="C660" s="6">
        <v>144</v>
      </c>
      <c r="D660" s="13" t="s">
        <v>31</v>
      </c>
      <c r="E660" s="14">
        <v>45142</v>
      </c>
      <c r="F660" s="6">
        <v>195</v>
      </c>
      <c r="G660" s="24">
        <v>3.4</v>
      </c>
      <c r="H660">
        <f>IF(MONTH(Table13[[#This Row],[Date of Call]])&lt;6, YEAR(Table13[[#This Row],[Date of Call]]),YEAR(Table13[[#This Row],[Date of Call]])+1)</f>
        <v>2024</v>
      </c>
      <c r="I660" t="str">
        <f>TEXT(Table13[[#This Row],[Date of Call]],"dddd")</f>
        <v>Friday</v>
      </c>
      <c r="J6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60">
        <f>ROUND(Table13[[#This Row],[Satisfaction Rating]],0)</f>
        <v>3</v>
      </c>
    </row>
    <row r="661" spans="1:11" x14ac:dyDescent="0.3">
      <c r="A661" s="23" t="s">
        <v>702</v>
      </c>
      <c r="B661" s="6" t="s">
        <v>8</v>
      </c>
      <c r="C661" s="6">
        <v>56</v>
      </c>
      <c r="D661" s="13" t="s">
        <v>29</v>
      </c>
      <c r="E661" s="14">
        <v>45143</v>
      </c>
      <c r="F661" s="6">
        <v>152</v>
      </c>
      <c r="G661" s="24">
        <v>4.5999999999999996</v>
      </c>
      <c r="H661">
        <f>IF(MONTH(Table13[[#This Row],[Date of Call]])&lt;6, YEAR(Table13[[#This Row],[Date of Call]]),YEAR(Table13[[#This Row],[Date of Call]])+1)</f>
        <v>2024</v>
      </c>
      <c r="I661" t="str">
        <f>TEXT(Table13[[#This Row],[Date of Call]],"dddd")</f>
        <v>Saturday</v>
      </c>
      <c r="J6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61">
        <f>ROUND(Table13[[#This Row],[Satisfaction Rating]],0)</f>
        <v>5</v>
      </c>
    </row>
    <row r="662" spans="1:11" x14ac:dyDescent="0.3">
      <c r="A662" s="23" t="s">
        <v>703</v>
      </c>
      <c r="B662" s="6" t="s">
        <v>16</v>
      </c>
      <c r="C662" s="6">
        <v>132</v>
      </c>
      <c r="D662" s="13" t="s">
        <v>31</v>
      </c>
      <c r="E662" s="14">
        <v>45144</v>
      </c>
      <c r="F662" s="6">
        <v>195</v>
      </c>
      <c r="G662" s="24">
        <v>4.9000000000000004</v>
      </c>
      <c r="H662">
        <f>IF(MONTH(Table13[[#This Row],[Date of Call]])&lt;6, YEAR(Table13[[#This Row],[Date of Call]]),YEAR(Table13[[#This Row],[Date of Call]])+1)</f>
        <v>2024</v>
      </c>
      <c r="I662" t="str">
        <f>TEXT(Table13[[#This Row],[Date of Call]],"dddd")</f>
        <v>Sunday</v>
      </c>
      <c r="J6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62">
        <f>ROUND(Table13[[#This Row],[Satisfaction Rating]],0)</f>
        <v>5</v>
      </c>
    </row>
    <row r="663" spans="1:11" x14ac:dyDescent="0.3">
      <c r="A663" s="23" t="s">
        <v>704</v>
      </c>
      <c r="B663" s="6" t="s">
        <v>10</v>
      </c>
      <c r="C663" s="6">
        <v>72</v>
      </c>
      <c r="D663" s="13" t="s">
        <v>28</v>
      </c>
      <c r="E663" s="14">
        <v>45144</v>
      </c>
      <c r="F663" s="6">
        <v>70</v>
      </c>
      <c r="G663" s="24">
        <v>3.6</v>
      </c>
      <c r="H663">
        <f>IF(MONTH(Table13[[#This Row],[Date of Call]])&lt;6, YEAR(Table13[[#This Row],[Date of Call]]),YEAR(Table13[[#This Row],[Date of Call]])+1)</f>
        <v>2024</v>
      </c>
      <c r="I663" t="str">
        <f>TEXT(Table13[[#This Row],[Date of Call]],"dddd")</f>
        <v>Sunday</v>
      </c>
      <c r="J6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63">
        <f>ROUND(Table13[[#This Row],[Satisfaction Rating]],0)</f>
        <v>4</v>
      </c>
    </row>
    <row r="664" spans="1:11" x14ac:dyDescent="0.3">
      <c r="A664" s="23" t="s">
        <v>705</v>
      </c>
      <c r="B664" s="6" t="s">
        <v>15</v>
      </c>
      <c r="C664" s="6">
        <v>18</v>
      </c>
      <c r="D664" s="13" t="s">
        <v>28</v>
      </c>
      <c r="E664" s="14">
        <v>45144</v>
      </c>
      <c r="F664" s="6">
        <v>22</v>
      </c>
      <c r="G664" s="24">
        <v>3.5</v>
      </c>
      <c r="H664">
        <f>IF(MONTH(Table13[[#This Row],[Date of Call]])&lt;6, YEAR(Table13[[#This Row],[Date of Call]]),YEAR(Table13[[#This Row],[Date of Call]])+1)</f>
        <v>2024</v>
      </c>
      <c r="I664" t="str">
        <f>TEXT(Table13[[#This Row],[Date of Call]],"dddd")</f>
        <v>Sunday</v>
      </c>
      <c r="J6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664">
        <f>ROUND(Table13[[#This Row],[Satisfaction Rating]],0)</f>
        <v>4</v>
      </c>
    </row>
    <row r="665" spans="1:11" x14ac:dyDescent="0.3">
      <c r="A665" s="23" t="s">
        <v>706</v>
      </c>
      <c r="B665" s="6" t="s">
        <v>14</v>
      </c>
      <c r="C665" s="6">
        <v>115</v>
      </c>
      <c r="D665" s="13" t="s">
        <v>30</v>
      </c>
      <c r="E665" s="14">
        <v>45145</v>
      </c>
      <c r="F665" s="6">
        <v>40</v>
      </c>
      <c r="G665" s="24">
        <v>3.3</v>
      </c>
      <c r="H665">
        <f>IF(MONTH(Table13[[#This Row],[Date of Call]])&lt;6, YEAR(Table13[[#This Row],[Date of Call]]),YEAR(Table13[[#This Row],[Date of Call]])+1)</f>
        <v>2024</v>
      </c>
      <c r="I665" t="str">
        <f>TEXT(Table13[[#This Row],[Date of Call]],"dddd")</f>
        <v>Monday</v>
      </c>
      <c r="J6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65">
        <f>ROUND(Table13[[#This Row],[Satisfaction Rating]],0)</f>
        <v>3</v>
      </c>
    </row>
    <row r="666" spans="1:11" x14ac:dyDescent="0.3">
      <c r="A666" s="23" t="s">
        <v>707</v>
      </c>
      <c r="B666" s="6" t="s">
        <v>14</v>
      </c>
      <c r="C666" s="6">
        <v>124</v>
      </c>
      <c r="D666" s="13" t="s">
        <v>29</v>
      </c>
      <c r="E666" s="14">
        <v>45146</v>
      </c>
      <c r="F666" s="6">
        <v>54</v>
      </c>
      <c r="G666" s="24">
        <v>3.8</v>
      </c>
      <c r="H666">
        <f>IF(MONTH(Table13[[#This Row],[Date of Call]])&lt;6, YEAR(Table13[[#This Row],[Date of Call]]),YEAR(Table13[[#This Row],[Date of Call]])+1)</f>
        <v>2024</v>
      </c>
      <c r="I666" t="str">
        <f>TEXT(Table13[[#This Row],[Date of Call]],"dddd")</f>
        <v>Tuesday</v>
      </c>
      <c r="J6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66">
        <f>ROUND(Table13[[#This Row],[Satisfaction Rating]],0)</f>
        <v>4</v>
      </c>
    </row>
    <row r="667" spans="1:11" x14ac:dyDescent="0.3">
      <c r="A667" s="23" t="s">
        <v>708</v>
      </c>
      <c r="B667" s="6" t="s">
        <v>7</v>
      </c>
      <c r="C667" s="6">
        <v>130</v>
      </c>
      <c r="D667" s="13" t="s">
        <v>29</v>
      </c>
      <c r="E667" s="14">
        <v>45146</v>
      </c>
      <c r="F667" s="6">
        <v>60</v>
      </c>
      <c r="G667" s="24">
        <v>2.5</v>
      </c>
      <c r="H667">
        <f>IF(MONTH(Table13[[#This Row],[Date of Call]])&lt;6, YEAR(Table13[[#This Row],[Date of Call]]),YEAR(Table13[[#This Row],[Date of Call]])+1)</f>
        <v>2024</v>
      </c>
      <c r="I667" t="str">
        <f>TEXT(Table13[[#This Row],[Date of Call]],"dddd")</f>
        <v>Tuesday</v>
      </c>
      <c r="J6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67">
        <f>ROUND(Table13[[#This Row],[Satisfaction Rating]],0)</f>
        <v>3</v>
      </c>
    </row>
    <row r="668" spans="1:11" x14ac:dyDescent="0.3">
      <c r="A668" s="23" t="s">
        <v>709</v>
      </c>
      <c r="B668" s="6" t="s">
        <v>18</v>
      </c>
      <c r="C668" s="6">
        <v>120</v>
      </c>
      <c r="D668" s="13" t="s">
        <v>32</v>
      </c>
      <c r="E668" s="14">
        <v>45148</v>
      </c>
      <c r="F668" s="6">
        <v>58</v>
      </c>
      <c r="G668" s="24">
        <v>4.5999999999999996</v>
      </c>
      <c r="H668">
        <f>IF(MONTH(Table13[[#This Row],[Date of Call]])&lt;6, YEAR(Table13[[#This Row],[Date of Call]]),YEAR(Table13[[#This Row],[Date of Call]])+1)</f>
        <v>2024</v>
      </c>
      <c r="I668" t="str">
        <f>TEXT(Table13[[#This Row],[Date of Call]],"dddd")</f>
        <v>Thursday</v>
      </c>
      <c r="J6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68">
        <f>ROUND(Table13[[#This Row],[Satisfaction Rating]],0)</f>
        <v>5</v>
      </c>
    </row>
    <row r="669" spans="1:11" x14ac:dyDescent="0.3">
      <c r="A669" s="23" t="s">
        <v>710</v>
      </c>
      <c r="B669" s="6" t="s">
        <v>13</v>
      </c>
      <c r="C669" s="6">
        <v>75</v>
      </c>
      <c r="D669" s="13" t="s">
        <v>30</v>
      </c>
      <c r="E669" s="14">
        <v>45148</v>
      </c>
      <c r="F669" s="6">
        <v>220</v>
      </c>
      <c r="G669" s="24">
        <v>4.7</v>
      </c>
      <c r="H669">
        <f>IF(MONTH(Table13[[#This Row],[Date of Call]])&lt;6, YEAR(Table13[[#This Row],[Date of Call]]),YEAR(Table13[[#This Row],[Date of Call]])+1)</f>
        <v>2024</v>
      </c>
      <c r="I669" t="str">
        <f>TEXT(Table13[[#This Row],[Date of Call]],"dddd")</f>
        <v>Thursday</v>
      </c>
      <c r="J6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69">
        <f>ROUND(Table13[[#This Row],[Satisfaction Rating]],0)</f>
        <v>5</v>
      </c>
    </row>
    <row r="670" spans="1:11" x14ac:dyDescent="0.3">
      <c r="A670" s="23" t="s">
        <v>711</v>
      </c>
      <c r="B670" s="6" t="s">
        <v>6</v>
      </c>
      <c r="C670" s="6">
        <v>63</v>
      </c>
      <c r="D670" s="13" t="s">
        <v>30</v>
      </c>
      <c r="E670" s="14">
        <v>45148</v>
      </c>
      <c r="F670" s="6">
        <v>27</v>
      </c>
      <c r="G670" s="24">
        <v>3.6</v>
      </c>
      <c r="H670">
        <f>IF(MONTH(Table13[[#This Row],[Date of Call]])&lt;6, YEAR(Table13[[#This Row],[Date of Call]]),YEAR(Table13[[#This Row],[Date of Call]])+1)</f>
        <v>2024</v>
      </c>
      <c r="I670" t="str">
        <f>TEXT(Table13[[#This Row],[Date of Call]],"dddd")</f>
        <v>Thursday</v>
      </c>
      <c r="J6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0">
        <f>ROUND(Table13[[#This Row],[Satisfaction Rating]],0)</f>
        <v>4</v>
      </c>
    </row>
    <row r="671" spans="1:11" x14ac:dyDescent="0.3">
      <c r="A671" s="23" t="s">
        <v>712</v>
      </c>
      <c r="B671" s="6" t="s">
        <v>16</v>
      </c>
      <c r="C671" s="6">
        <v>74</v>
      </c>
      <c r="D671" s="13" t="s">
        <v>30</v>
      </c>
      <c r="E671" s="14">
        <v>45150</v>
      </c>
      <c r="F671" s="6">
        <v>26</v>
      </c>
      <c r="G671" s="24">
        <v>4.3</v>
      </c>
      <c r="H671">
        <f>IF(MONTH(Table13[[#This Row],[Date of Call]])&lt;6, YEAR(Table13[[#This Row],[Date of Call]]),YEAR(Table13[[#This Row],[Date of Call]])+1)</f>
        <v>2024</v>
      </c>
      <c r="I671" t="str">
        <f>TEXT(Table13[[#This Row],[Date of Call]],"dddd")</f>
        <v>Saturday</v>
      </c>
      <c r="J6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1">
        <f>ROUND(Table13[[#This Row],[Satisfaction Rating]],0)</f>
        <v>4</v>
      </c>
    </row>
    <row r="672" spans="1:11" x14ac:dyDescent="0.3">
      <c r="A672" s="23" t="s">
        <v>713</v>
      </c>
      <c r="B672" s="6" t="s">
        <v>9</v>
      </c>
      <c r="C672" s="6">
        <v>134</v>
      </c>
      <c r="D672" s="13" t="s">
        <v>31</v>
      </c>
      <c r="E672" s="14">
        <v>45151</v>
      </c>
      <c r="F672" s="6">
        <v>160</v>
      </c>
      <c r="G672" s="24">
        <v>4.7</v>
      </c>
      <c r="H672">
        <f>IF(MONTH(Table13[[#This Row],[Date of Call]])&lt;6, YEAR(Table13[[#This Row],[Date of Call]]),YEAR(Table13[[#This Row],[Date of Call]])+1)</f>
        <v>2024</v>
      </c>
      <c r="I672" t="str">
        <f>TEXT(Table13[[#This Row],[Date of Call]],"dddd")</f>
        <v>Sunday</v>
      </c>
      <c r="J6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72">
        <f>ROUND(Table13[[#This Row],[Satisfaction Rating]],0)</f>
        <v>5</v>
      </c>
    </row>
    <row r="673" spans="1:11" x14ac:dyDescent="0.3">
      <c r="A673" s="23" t="s">
        <v>714</v>
      </c>
      <c r="B673" s="6" t="s">
        <v>15</v>
      </c>
      <c r="C673" s="6">
        <v>103</v>
      </c>
      <c r="D673" s="13" t="s">
        <v>29</v>
      </c>
      <c r="E673" s="14">
        <v>45151</v>
      </c>
      <c r="F673" s="6">
        <v>200</v>
      </c>
      <c r="G673" s="24">
        <v>4.9000000000000004</v>
      </c>
      <c r="H673">
        <f>IF(MONTH(Table13[[#This Row],[Date of Call]])&lt;6, YEAR(Table13[[#This Row],[Date of Call]]),YEAR(Table13[[#This Row],[Date of Call]])+1)</f>
        <v>2024</v>
      </c>
      <c r="I673" t="str">
        <f>TEXT(Table13[[#This Row],[Date of Call]],"dddd")</f>
        <v>Sunday</v>
      </c>
      <c r="J6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3">
        <f>ROUND(Table13[[#This Row],[Satisfaction Rating]],0)</f>
        <v>5</v>
      </c>
    </row>
    <row r="674" spans="1:11" x14ac:dyDescent="0.3">
      <c r="A674" s="23" t="s">
        <v>715</v>
      </c>
      <c r="B674" s="6" t="s">
        <v>15</v>
      </c>
      <c r="C674" s="6">
        <v>155</v>
      </c>
      <c r="D674" s="13" t="s">
        <v>32</v>
      </c>
      <c r="E674" s="14">
        <v>45154</v>
      </c>
      <c r="F674" s="6">
        <v>135</v>
      </c>
      <c r="G674" s="24">
        <v>4.9000000000000004</v>
      </c>
      <c r="H674">
        <f>IF(MONTH(Table13[[#This Row],[Date of Call]])&lt;6, YEAR(Table13[[#This Row],[Date of Call]]),YEAR(Table13[[#This Row],[Date of Call]])+1)</f>
        <v>2024</v>
      </c>
      <c r="I674" t="str">
        <f>TEXT(Table13[[#This Row],[Date of Call]],"dddd")</f>
        <v>Wednesday</v>
      </c>
      <c r="J6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74">
        <f>ROUND(Table13[[#This Row],[Satisfaction Rating]],0)</f>
        <v>5</v>
      </c>
    </row>
    <row r="675" spans="1:11" x14ac:dyDescent="0.3">
      <c r="A675" s="23" t="s">
        <v>716</v>
      </c>
      <c r="B675" s="6" t="s">
        <v>6</v>
      </c>
      <c r="C675" s="6">
        <v>128</v>
      </c>
      <c r="D675" s="13" t="s">
        <v>29</v>
      </c>
      <c r="E675" s="14">
        <v>45155</v>
      </c>
      <c r="F675" s="6">
        <v>22</v>
      </c>
      <c r="G675" s="24">
        <v>1.9</v>
      </c>
      <c r="H675">
        <f>IF(MONTH(Table13[[#This Row],[Date of Call]])&lt;6, YEAR(Table13[[#This Row],[Date of Call]]),YEAR(Table13[[#This Row],[Date of Call]])+1)</f>
        <v>2024</v>
      </c>
      <c r="I675" t="str">
        <f>TEXT(Table13[[#This Row],[Date of Call]],"dddd")</f>
        <v>Thursday</v>
      </c>
      <c r="J6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75">
        <f>ROUND(Table13[[#This Row],[Satisfaction Rating]],0)</f>
        <v>2</v>
      </c>
    </row>
    <row r="676" spans="1:11" x14ac:dyDescent="0.3">
      <c r="A676" s="23" t="s">
        <v>717</v>
      </c>
      <c r="B676" s="6" t="s">
        <v>13</v>
      </c>
      <c r="C676" s="6">
        <v>89</v>
      </c>
      <c r="D676" s="13" t="s">
        <v>31</v>
      </c>
      <c r="E676" s="14">
        <v>45156</v>
      </c>
      <c r="F676" s="6">
        <v>164</v>
      </c>
      <c r="G676" s="24">
        <v>4.5</v>
      </c>
      <c r="H676">
        <f>IF(MONTH(Table13[[#This Row],[Date of Call]])&lt;6, YEAR(Table13[[#This Row],[Date of Call]]),YEAR(Table13[[#This Row],[Date of Call]])+1)</f>
        <v>2024</v>
      </c>
      <c r="I676" t="str">
        <f>TEXT(Table13[[#This Row],[Date of Call]],"dddd")</f>
        <v>Friday</v>
      </c>
      <c r="J6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6">
        <f>ROUND(Table13[[#This Row],[Satisfaction Rating]],0)</f>
        <v>5</v>
      </c>
    </row>
    <row r="677" spans="1:11" x14ac:dyDescent="0.3">
      <c r="A677" s="23" t="s">
        <v>718</v>
      </c>
      <c r="B677" s="6" t="s">
        <v>14</v>
      </c>
      <c r="C677" s="6">
        <v>81</v>
      </c>
      <c r="D677" s="13" t="s">
        <v>32</v>
      </c>
      <c r="E677" s="14">
        <v>45156</v>
      </c>
      <c r="F677" s="6">
        <v>21</v>
      </c>
      <c r="G677" s="24">
        <v>4.9000000000000004</v>
      </c>
      <c r="H677">
        <f>IF(MONTH(Table13[[#This Row],[Date of Call]])&lt;6, YEAR(Table13[[#This Row],[Date of Call]]),YEAR(Table13[[#This Row],[Date of Call]])+1)</f>
        <v>2024</v>
      </c>
      <c r="I677" t="str">
        <f>TEXT(Table13[[#This Row],[Date of Call]],"dddd")</f>
        <v>Friday</v>
      </c>
      <c r="J6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7">
        <f>ROUND(Table13[[#This Row],[Satisfaction Rating]],0)</f>
        <v>5</v>
      </c>
    </row>
    <row r="678" spans="1:11" x14ac:dyDescent="0.3">
      <c r="A678" s="23" t="s">
        <v>719</v>
      </c>
      <c r="B678" s="6" t="s">
        <v>13</v>
      </c>
      <c r="C678" s="6">
        <v>66</v>
      </c>
      <c r="D678" s="13" t="s">
        <v>31</v>
      </c>
      <c r="E678" s="14">
        <v>45157</v>
      </c>
      <c r="F678" s="6">
        <v>120</v>
      </c>
      <c r="G678" s="24">
        <v>4.5</v>
      </c>
      <c r="H678">
        <f>IF(MONTH(Table13[[#This Row],[Date of Call]])&lt;6, YEAR(Table13[[#This Row],[Date of Call]]),YEAR(Table13[[#This Row],[Date of Call]])+1)</f>
        <v>2024</v>
      </c>
      <c r="I678" t="str">
        <f>TEXT(Table13[[#This Row],[Date of Call]],"dddd")</f>
        <v>Saturday</v>
      </c>
      <c r="J6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8">
        <f>ROUND(Table13[[#This Row],[Satisfaction Rating]],0)</f>
        <v>5</v>
      </c>
    </row>
    <row r="679" spans="1:11" x14ac:dyDescent="0.3">
      <c r="A679" s="23" t="s">
        <v>720</v>
      </c>
      <c r="B679" s="6" t="s">
        <v>10</v>
      </c>
      <c r="C679" s="6">
        <v>61</v>
      </c>
      <c r="D679" s="13" t="s">
        <v>28</v>
      </c>
      <c r="E679" s="14">
        <v>45157</v>
      </c>
      <c r="F679" s="6">
        <v>93</v>
      </c>
      <c r="G679" s="24">
        <v>2.7</v>
      </c>
      <c r="H679">
        <f>IF(MONTH(Table13[[#This Row],[Date of Call]])&lt;6, YEAR(Table13[[#This Row],[Date of Call]]),YEAR(Table13[[#This Row],[Date of Call]])+1)</f>
        <v>2024</v>
      </c>
      <c r="I679" t="str">
        <f>TEXT(Table13[[#This Row],[Date of Call]],"dddd")</f>
        <v>Saturday</v>
      </c>
      <c r="J6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79">
        <f>ROUND(Table13[[#This Row],[Satisfaction Rating]],0)</f>
        <v>3</v>
      </c>
    </row>
    <row r="680" spans="1:11" x14ac:dyDescent="0.3">
      <c r="A680" s="23" t="s">
        <v>721</v>
      </c>
      <c r="B680" s="6" t="s">
        <v>14</v>
      </c>
      <c r="C680" s="6">
        <v>128</v>
      </c>
      <c r="D680" s="13" t="s">
        <v>28</v>
      </c>
      <c r="E680" s="14">
        <v>45157</v>
      </c>
      <c r="F680" s="6">
        <v>135</v>
      </c>
      <c r="G680" s="24">
        <v>2.1</v>
      </c>
      <c r="H680">
        <f>IF(MONTH(Table13[[#This Row],[Date of Call]])&lt;6, YEAR(Table13[[#This Row],[Date of Call]]),YEAR(Table13[[#This Row],[Date of Call]])+1)</f>
        <v>2024</v>
      </c>
      <c r="I680" t="str">
        <f>TEXT(Table13[[#This Row],[Date of Call]],"dddd")</f>
        <v>Saturday</v>
      </c>
      <c r="J6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80">
        <f>ROUND(Table13[[#This Row],[Satisfaction Rating]],0)</f>
        <v>2</v>
      </c>
    </row>
    <row r="681" spans="1:11" x14ac:dyDescent="0.3">
      <c r="A681" s="23" t="s">
        <v>722</v>
      </c>
      <c r="B681" s="6" t="s">
        <v>15</v>
      </c>
      <c r="C681" s="6">
        <v>30</v>
      </c>
      <c r="D681" s="13" t="s">
        <v>32</v>
      </c>
      <c r="E681" s="14">
        <v>45157</v>
      </c>
      <c r="F681" s="6">
        <v>210</v>
      </c>
      <c r="G681" s="24">
        <v>4.2</v>
      </c>
      <c r="H681">
        <f>IF(MONTH(Table13[[#This Row],[Date of Call]])&lt;6, YEAR(Table13[[#This Row],[Date of Call]]),YEAR(Table13[[#This Row],[Date of Call]])+1)</f>
        <v>2024</v>
      </c>
      <c r="I681" t="str">
        <f>TEXT(Table13[[#This Row],[Date of Call]],"dddd")</f>
        <v>Saturday</v>
      </c>
      <c r="J6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81">
        <f>ROUND(Table13[[#This Row],[Satisfaction Rating]],0)</f>
        <v>4</v>
      </c>
    </row>
    <row r="682" spans="1:11" x14ac:dyDescent="0.3">
      <c r="A682" s="23" t="s">
        <v>723</v>
      </c>
      <c r="B682" s="6" t="s">
        <v>11</v>
      </c>
      <c r="C682" s="6">
        <v>63</v>
      </c>
      <c r="D682" s="13" t="s">
        <v>28</v>
      </c>
      <c r="E682" s="14">
        <v>45158</v>
      </c>
      <c r="F682" s="6">
        <v>29</v>
      </c>
      <c r="G682" s="24">
        <v>4.7</v>
      </c>
      <c r="H682">
        <f>IF(MONTH(Table13[[#This Row],[Date of Call]])&lt;6, YEAR(Table13[[#This Row],[Date of Call]]),YEAR(Table13[[#This Row],[Date of Call]])+1)</f>
        <v>2024</v>
      </c>
      <c r="I682" t="str">
        <f>TEXT(Table13[[#This Row],[Date of Call]],"dddd")</f>
        <v>Sunday</v>
      </c>
      <c r="J6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82">
        <f>ROUND(Table13[[#This Row],[Satisfaction Rating]],0)</f>
        <v>5</v>
      </c>
    </row>
    <row r="683" spans="1:11" x14ac:dyDescent="0.3">
      <c r="A683" s="23" t="s">
        <v>724</v>
      </c>
      <c r="B683" s="6" t="s">
        <v>5</v>
      </c>
      <c r="C683" s="6">
        <v>64</v>
      </c>
      <c r="D683" s="13" t="s">
        <v>30</v>
      </c>
      <c r="E683" s="14">
        <v>45158</v>
      </c>
      <c r="F683" s="6">
        <v>111</v>
      </c>
      <c r="G683" s="24">
        <v>3.9</v>
      </c>
      <c r="H683">
        <f>IF(MONTH(Table13[[#This Row],[Date of Call]])&lt;6, YEAR(Table13[[#This Row],[Date of Call]]),YEAR(Table13[[#This Row],[Date of Call]])+1)</f>
        <v>2024</v>
      </c>
      <c r="I683" t="str">
        <f>TEXT(Table13[[#This Row],[Date of Call]],"dddd")</f>
        <v>Sunday</v>
      </c>
      <c r="J6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83">
        <f>ROUND(Table13[[#This Row],[Satisfaction Rating]],0)</f>
        <v>4</v>
      </c>
    </row>
    <row r="684" spans="1:11" x14ac:dyDescent="0.3">
      <c r="A684" s="23" t="s">
        <v>725</v>
      </c>
      <c r="B684" s="6" t="s">
        <v>17</v>
      </c>
      <c r="C684" s="6">
        <v>151</v>
      </c>
      <c r="D684" s="13" t="s">
        <v>29</v>
      </c>
      <c r="E684" s="14">
        <v>45159</v>
      </c>
      <c r="F684" s="6">
        <v>63</v>
      </c>
      <c r="G684" s="24">
        <v>4.0999999999999996</v>
      </c>
      <c r="H684">
        <f>IF(MONTH(Table13[[#This Row],[Date of Call]])&lt;6, YEAR(Table13[[#This Row],[Date of Call]]),YEAR(Table13[[#This Row],[Date of Call]])+1)</f>
        <v>2024</v>
      </c>
      <c r="I684" t="str">
        <f>TEXT(Table13[[#This Row],[Date of Call]],"dddd")</f>
        <v>Monday</v>
      </c>
      <c r="J6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84">
        <f>ROUND(Table13[[#This Row],[Satisfaction Rating]],0)</f>
        <v>4</v>
      </c>
    </row>
    <row r="685" spans="1:11" x14ac:dyDescent="0.3">
      <c r="A685" s="23" t="s">
        <v>726</v>
      </c>
      <c r="B685" s="6" t="s">
        <v>4</v>
      </c>
      <c r="C685" s="6">
        <v>116</v>
      </c>
      <c r="D685" s="13" t="s">
        <v>31</v>
      </c>
      <c r="E685" s="14">
        <v>45159</v>
      </c>
      <c r="F685" s="6">
        <v>44</v>
      </c>
      <c r="G685" s="24">
        <v>3.8</v>
      </c>
      <c r="H685">
        <f>IF(MONTH(Table13[[#This Row],[Date of Call]])&lt;6, YEAR(Table13[[#This Row],[Date of Call]]),YEAR(Table13[[#This Row],[Date of Call]])+1)</f>
        <v>2024</v>
      </c>
      <c r="I685" t="str">
        <f>TEXT(Table13[[#This Row],[Date of Call]],"dddd")</f>
        <v>Monday</v>
      </c>
      <c r="J6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85">
        <f>ROUND(Table13[[#This Row],[Satisfaction Rating]],0)</f>
        <v>4</v>
      </c>
    </row>
    <row r="686" spans="1:11" x14ac:dyDescent="0.3">
      <c r="A686" s="23" t="s">
        <v>727</v>
      </c>
      <c r="B686" s="6" t="s">
        <v>17</v>
      </c>
      <c r="C686" s="6">
        <v>111</v>
      </c>
      <c r="D686" s="13" t="s">
        <v>31</v>
      </c>
      <c r="E686" s="14">
        <v>45161</v>
      </c>
      <c r="F686" s="6">
        <v>120</v>
      </c>
      <c r="G686" s="24">
        <v>1.8</v>
      </c>
      <c r="H686">
        <f>IF(MONTH(Table13[[#This Row],[Date of Call]])&lt;6, YEAR(Table13[[#This Row],[Date of Call]]),YEAR(Table13[[#This Row],[Date of Call]])+1)</f>
        <v>2024</v>
      </c>
      <c r="I686" t="str">
        <f>TEXT(Table13[[#This Row],[Date of Call]],"dddd")</f>
        <v>Wednesday</v>
      </c>
      <c r="J6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86">
        <f>ROUND(Table13[[#This Row],[Satisfaction Rating]],0)</f>
        <v>2</v>
      </c>
    </row>
    <row r="687" spans="1:11" x14ac:dyDescent="0.3">
      <c r="A687" s="23" t="s">
        <v>728</v>
      </c>
      <c r="B687" s="6" t="s">
        <v>14</v>
      </c>
      <c r="C687" s="6">
        <v>15</v>
      </c>
      <c r="D687" s="13" t="s">
        <v>31</v>
      </c>
      <c r="E687" s="14">
        <v>45161</v>
      </c>
      <c r="F687" s="6">
        <v>120</v>
      </c>
      <c r="G687" s="24">
        <v>4.0999999999999996</v>
      </c>
      <c r="H687">
        <f>IF(MONTH(Table13[[#This Row],[Date of Call]])&lt;6, YEAR(Table13[[#This Row],[Date of Call]]),YEAR(Table13[[#This Row],[Date of Call]])+1)</f>
        <v>2024</v>
      </c>
      <c r="I687" t="str">
        <f>TEXT(Table13[[#This Row],[Date of Call]],"dddd")</f>
        <v>Wednesday</v>
      </c>
      <c r="J6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687">
        <f>ROUND(Table13[[#This Row],[Satisfaction Rating]],0)</f>
        <v>4</v>
      </c>
    </row>
    <row r="688" spans="1:11" x14ac:dyDescent="0.3">
      <c r="A688" s="23" t="s">
        <v>729</v>
      </c>
      <c r="B688" s="6" t="s">
        <v>5</v>
      </c>
      <c r="C688" s="6">
        <v>18</v>
      </c>
      <c r="D688" s="13" t="s">
        <v>29</v>
      </c>
      <c r="E688" s="14">
        <v>45162</v>
      </c>
      <c r="F688" s="6">
        <v>40</v>
      </c>
      <c r="G688" s="24">
        <v>4.4000000000000004</v>
      </c>
      <c r="H688">
        <f>IF(MONTH(Table13[[#This Row],[Date of Call]])&lt;6, YEAR(Table13[[#This Row],[Date of Call]]),YEAR(Table13[[#This Row],[Date of Call]])+1)</f>
        <v>2024</v>
      </c>
      <c r="I688" t="str">
        <f>TEXT(Table13[[#This Row],[Date of Call]],"dddd")</f>
        <v>Thursday</v>
      </c>
      <c r="J6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688">
        <f>ROUND(Table13[[#This Row],[Satisfaction Rating]],0)</f>
        <v>4</v>
      </c>
    </row>
    <row r="689" spans="1:11" x14ac:dyDescent="0.3">
      <c r="A689" s="23" t="s">
        <v>730</v>
      </c>
      <c r="B689" s="6" t="s">
        <v>10</v>
      </c>
      <c r="C689" s="6">
        <v>146</v>
      </c>
      <c r="D689" s="13" t="s">
        <v>28</v>
      </c>
      <c r="E689" s="14">
        <v>45162</v>
      </c>
      <c r="F689" s="6">
        <v>160</v>
      </c>
      <c r="G689" s="24">
        <v>4.0999999999999996</v>
      </c>
      <c r="H689">
        <f>IF(MONTH(Table13[[#This Row],[Date of Call]])&lt;6, YEAR(Table13[[#This Row],[Date of Call]]),YEAR(Table13[[#This Row],[Date of Call]])+1)</f>
        <v>2024</v>
      </c>
      <c r="I689" t="str">
        <f>TEXT(Table13[[#This Row],[Date of Call]],"dddd")</f>
        <v>Thursday</v>
      </c>
      <c r="J6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89">
        <f>ROUND(Table13[[#This Row],[Satisfaction Rating]],0)</f>
        <v>4</v>
      </c>
    </row>
    <row r="690" spans="1:11" x14ac:dyDescent="0.3">
      <c r="A690" s="23" t="s">
        <v>731</v>
      </c>
      <c r="B690" s="6" t="s">
        <v>15</v>
      </c>
      <c r="C690" s="6">
        <v>73</v>
      </c>
      <c r="D690" s="13" t="s">
        <v>31</v>
      </c>
      <c r="E690" s="14">
        <v>45163</v>
      </c>
      <c r="F690" s="6">
        <v>44</v>
      </c>
      <c r="G690" s="24">
        <v>3.8</v>
      </c>
      <c r="H690">
        <f>IF(MONTH(Table13[[#This Row],[Date of Call]])&lt;6, YEAR(Table13[[#This Row],[Date of Call]]),YEAR(Table13[[#This Row],[Date of Call]])+1)</f>
        <v>2024</v>
      </c>
      <c r="I690" t="str">
        <f>TEXT(Table13[[#This Row],[Date of Call]],"dddd")</f>
        <v>Friday</v>
      </c>
      <c r="J6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90">
        <f>ROUND(Table13[[#This Row],[Satisfaction Rating]],0)</f>
        <v>4</v>
      </c>
    </row>
    <row r="691" spans="1:11" x14ac:dyDescent="0.3">
      <c r="A691" s="23" t="s">
        <v>732</v>
      </c>
      <c r="B691" s="6" t="s">
        <v>17</v>
      </c>
      <c r="C691" s="6">
        <v>108</v>
      </c>
      <c r="D691" s="13" t="s">
        <v>29</v>
      </c>
      <c r="E691" s="14">
        <v>45163</v>
      </c>
      <c r="F691" s="6">
        <v>80</v>
      </c>
      <c r="G691" s="24">
        <v>4.3</v>
      </c>
      <c r="H691">
        <f>IF(MONTH(Table13[[#This Row],[Date of Call]])&lt;6, YEAR(Table13[[#This Row],[Date of Call]]),YEAR(Table13[[#This Row],[Date of Call]])+1)</f>
        <v>2024</v>
      </c>
      <c r="I691" t="str">
        <f>TEXT(Table13[[#This Row],[Date of Call]],"dddd")</f>
        <v>Friday</v>
      </c>
      <c r="J6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91">
        <f>ROUND(Table13[[#This Row],[Satisfaction Rating]],0)</f>
        <v>4</v>
      </c>
    </row>
    <row r="692" spans="1:11" x14ac:dyDescent="0.3">
      <c r="A692" s="23" t="s">
        <v>733</v>
      </c>
      <c r="B692" s="6" t="s">
        <v>9</v>
      </c>
      <c r="C692" s="6">
        <v>52</v>
      </c>
      <c r="D692" s="13" t="s">
        <v>29</v>
      </c>
      <c r="E692" s="14">
        <v>45164</v>
      </c>
      <c r="F692" s="6">
        <v>66</v>
      </c>
      <c r="G692" s="24">
        <v>4.5</v>
      </c>
      <c r="H692">
        <f>IF(MONTH(Table13[[#This Row],[Date of Call]])&lt;6, YEAR(Table13[[#This Row],[Date of Call]]),YEAR(Table13[[#This Row],[Date of Call]])+1)</f>
        <v>2024</v>
      </c>
      <c r="I692" t="str">
        <f>TEXT(Table13[[#This Row],[Date of Call]],"dddd")</f>
        <v>Saturday</v>
      </c>
      <c r="J6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92">
        <f>ROUND(Table13[[#This Row],[Satisfaction Rating]],0)</f>
        <v>5</v>
      </c>
    </row>
    <row r="693" spans="1:11" x14ac:dyDescent="0.3">
      <c r="A693" s="23" t="s">
        <v>734</v>
      </c>
      <c r="B693" s="6" t="s">
        <v>4</v>
      </c>
      <c r="C693" s="6">
        <v>165</v>
      </c>
      <c r="D693" s="13" t="s">
        <v>30</v>
      </c>
      <c r="E693" s="14">
        <v>45164</v>
      </c>
      <c r="F693" s="6">
        <v>82</v>
      </c>
      <c r="G693" s="24">
        <v>3.4</v>
      </c>
      <c r="H693">
        <f>IF(MONTH(Table13[[#This Row],[Date of Call]])&lt;6, YEAR(Table13[[#This Row],[Date of Call]]),YEAR(Table13[[#This Row],[Date of Call]])+1)</f>
        <v>2024</v>
      </c>
      <c r="I693" t="str">
        <f>TEXT(Table13[[#This Row],[Date of Call]],"dddd")</f>
        <v>Saturday</v>
      </c>
      <c r="J6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93">
        <f>ROUND(Table13[[#This Row],[Satisfaction Rating]],0)</f>
        <v>3</v>
      </c>
    </row>
    <row r="694" spans="1:11" x14ac:dyDescent="0.3">
      <c r="A694" s="23" t="s">
        <v>735</v>
      </c>
      <c r="B694" s="6" t="s">
        <v>10</v>
      </c>
      <c r="C694" s="6">
        <v>104</v>
      </c>
      <c r="D694" s="13" t="s">
        <v>31</v>
      </c>
      <c r="E694" s="14">
        <v>45164</v>
      </c>
      <c r="F694" s="6">
        <v>66</v>
      </c>
      <c r="G694" s="24">
        <v>4.8</v>
      </c>
      <c r="H694">
        <f>IF(MONTH(Table13[[#This Row],[Date of Call]])&lt;6, YEAR(Table13[[#This Row],[Date of Call]]),YEAR(Table13[[#This Row],[Date of Call]])+1)</f>
        <v>2024</v>
      </c>
      <c r="I694" t="str">
        <f>TEXT(Table13[[#This Row],[Date of Call]],"dddd")</f>
        <v>Saturday</v>
      </c>
      <c r="J6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94">
        <f>ROUND(Table13[[#This Row],[Satisfaction Rating]],0)</f>
        <v>5</v>
      </c>
    </row>
    <row r="695" spans="1:11" x14ac:dyDescent="0.3">
      <c r="A695" s="23" t="s">
        <v>736</v>
      </c>
      <c r="B695" s="6" t="s">
        <v>15</v>
      </c>
      <c r="C695" s="6">
        <v>131</v>
      </c>
      <c r="D695" s="13" t="s">
        <v>28</v>
      </c>
      <c r="E695" s="14">
        <v>45164</v>
      </c>
      <c r="F695" s="6">
        <v>92</v>
      </c>
      <c r="G695" s="24">
        <v>4.9000000000000004</v>
      </c>
      <c r="H695">
        <f>IF(MONTH(Table13[[#This Row],[Date of Call]])&lt;6, YEAR(Table13[[#This Row],[Date of Call]]),YEAR(Table13[[#This Row],[Date of Call]])+1)</f>
        <v>2024</v>
      </c>
      <c r="I695" t="str">
        <f>TEXT(Table13[[#This Row],[Date of Call]],"dddd")</f>
        <v>Saturday</v>
      </c>
      <c r="J6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695">
        <f>ROUND(Table13[[#This Row],[Satisfaction Rating]],0)</f>
        <v>5</v>
      </c>
    </row>
    <row r="696" spans="1:11" x14ac:dyDescent="0.3">
      <c r="A696" s="23" t="s">
        <v>737</v>
      </c>
      <c r="B696" s="6" t="s">
        <v>18</v>
      </c>
      <c r="C696" s="6">
        <v>80</v>
      </c>
      <c r="D696" s="13" t="s">
        <v>30</v>
      </c>
      <c r="E696" s="14">
        <v>45165</v>
      </c>
      <c r="F696" s="6">
        <v>104</v>
      </c>
      <c r="G696" s="24">
        <v>4.7</v>
      </c>
      <c r="H696">
        <f>IF(MONTH(Table13[[#This Row],[Date of Call]])&lt;6, YEAR(Table13[[#This Row],[Date of Call]]),YEAR(Table13[[#This Row],[Date of Call]])+1)</f>
        <v>2024</v>
      </c>
      <c r="I696" t="str">
        <f>TEXT(Table13[[#This Row],[Date of Call]],"dddd")</f>
        <v>Sunday</v>
      </c>
      <c r="J6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96">
        <f>ROUND(Table13[[#This Row],[Satisfaction Rating]],0)</f>
        <v>5</v>
      </c>
    </row>
    <row r="697" spans="1:11" x14ac:dyDescent="0.3">
      <c r="A697" s="23" t="s">
        <v>738</v>
      </c>
      <c r="B697" s="6" t="s">
        <v>14</v>
      </c>
      <c r="C697" s="6">
        <v>49</v>
      </c>
      <c r="D697" s="13" t="s">
        <v>31</v>
      </c>
      <c r="E697" s="14">
        <v>45165</v>
      </c>
      <c r="F697" s="6">
        <v>105</v>
      </c>
      <c r="G697" s="24">
        <v>3.3</v>
      </c>
      <c r="H697">
        <f>IF(MONTH(Table13[[#This Row],[Date of Call]])&lt;6, YEAR(Table13[[#This Row],[Date of Call]]),YEAR(Table13[[#This Row],[Date of Call]])+1)</f>
        <v>2024</v>
      </c>
      <c r="I697" t="str">
        <f>TEXT(Table13[[#This Row],[Date of Call]],"dddd")</f>
        <v>Sunday</v>
      </c>
      <c r="J6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697">
        <f>ROUND(Table13[[#This Row],[Satisfaction Rating]],0)</f>
        <v>3</v>
      </c>
    </row>
    <row r="698" spans="1:11" x14ac:dyDescent="0.3">
      <c r="A698" s="23" t="s">
        <v>739</v>
      </c>
      <c r="B698" s="6" t="s">
        <v>4</v>
      </c>
      <c r="C698" s="6">
        <v>73</v>
      </c>
      <c r="D698" s="13" t="s">
        <v>31</v>
      </c>
      <c r="E698" s="14">
        <v>45165</v>
      </c>
      <c r="F698" s="6">
        <v>100</v>
      </c>
      <c r="G698" s="24">
        <v>2.8</v>
      </c>
      <c r="H698">
        <f>IF(MONTH(Table13[[#This Row],[Date of Call]])&lt;6, YEAR(Table13[[#This Row],[Date of Call]]),YEAR(Table13[[#This Row],[Date of Call]])+1)</f>
        <v>2024</v>
      </c>
      <c r="I698" t="str">
        <f>TEXT(Table13[[#This Row],[Date of Call]],"dddd")</f>
        <v>Sunday</v>
      </c>
      <c r="J6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98">
        <f>ROUND(Table13[[#This Row],[Satisfaction Rating]],0)</f>
        <v>3</v>
      </c>
    </row>
    <row r="699" spans="1:11" x14ac:dyDescent="0.3">
      <c r="A699" s="23" t="s">
        <v>740</v>
      </c>
      <c r="B699" s="6" t="s">
        <v>10</v>
      </c>
      <c r="C699" s="6">
        <v>117</v>
      </c>
      <c r="D699" s="13" t="s">
        <v>30</v>
      </c>
      <c r="E699" s="14">
        <v>45165</v>
      </c>
      <c r="F699" s="6">
        <v>90</v>
      </c>
      <c r="G699" s="24">
        <v>4.0999999999999996</v>
      </c>
      <c r="H699">
        <f>IF(MONTH(Table13[[#This Row],[Date of Call]])&lt;6, YEAR(Table13[[#This Row],[Date of Call]]),YEAR(Table13[[#This Row],[Date of Call]])+1)</f>
        <v>2024</v>
      </c>
      <c r="I699" t="str">
        <f>TEXT(Table13[[#This Row],[Date of Call]],"dddd")</f>
        <v>Sunday</v>
      </c>
      <c r="J6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699">
        <f>ROUND(Table13[[#This Row],[Satisfaction Rating]],0)</f>
        <v>4</v>
      </c>
    </row>
    <row r="700" spans="1:11" x14ac:dyDescent="0.3">
      <c r="A700" s="23" t="s">
        <v>741</v>
      </c>
      <c r="B700" s="6" t="s">
        <v>8</v>
      </c>
      <c r="C700" s="6">
        <v>38</v>
      </c>
      <c r="D700" s="13" t="s">
        <v>32</v>
      </c>
      <c r="E700" s="14">
        <v>45165</v>
      </c>
      <c r="F700" s="6">
        <v>110</v>
      </c>
      <c r="G700" s="24">
        <v>3.5</v>
      </c>
      <c r="H700">
        <f>IF(MONTH(Table13[[#This Row],[Date of Call]])&lt;6, YEAR(Table13[[#This Row],[Date of Call]]),YEAR(Table13[[#This Row],[Date of Call]])+1)</f>
        <v>2024</v>
      </c>
      <c r="I700" t="str">
        <f>TEXT(Table13[[#This Row],[Date of Call]],"dddd")</f>
        <v>Sunday</v>
      </c>
      <c r="J7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00">
        <f>ROUND(Table13[[#This Row],[Satisfaction Rating]],0)</f>
        <v>4</v>
      </c>
    </row>
    <row r="701" spans="1:11" x14ac:dyDescent="0.3">
      <c r="A701" s="23" t="s">
        <v>742</v>
      </c>
      <c r="B701" s="6" t="s">
        <v>9</v>
      </c>
      <c r="C701" s="6">
        <v>109</v>
      </c>
      <c r="D701" s="13" t="s">
        <v>30</v>
      </c>
      <c r="E701" s="14">
        <v>45167</v>
      </c>
      <c r="F701" s="6">
        <v>68</v>
      </c>
      <c r="G701" s="24">
        <v>2.2999999999999998</v>
      </c>
      <c r="H701">
        <f>IF(MONTH(Table13[[#This Row],[Date of Call]])&lt;6, YEAR(Table13[[#This Row],[Date of Call]]),YEAR(Table13[[#This Row],[Date of Call]])+1)</f>
        <v>2024</v>
      </c>
      <c r="I701" t="str">
        <f>TEXT(Table13[[#This Row],[Date of Call]],"dddd")</f>
        <v>Tuesday</v>
      </c>
      <c r="J7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1">
        <f>ROUND(Table13[[#This Row],[Satisfaction Rating]],0)</f>
        <v>2</v>
      </c>
    </row>
    <row r="702" spans="1:11" x14ac:dyDescent="0.3">
      <c r="A702" s="23" t="s">
        <v>743</v>
      </c>
      <c r="B702" s="6" t="s">
        <v>14</v>
      </c>
      <c r="C702" s="6">
        <v>70</v>
      </c>
      <c r="D702" s="13" t="s">
        <v>29</v>
      </c>
      <c r="E702" s="14">
        <v>45168</v>
      </c>
      <c r="F702" s="6">
        <v>210</v>
      </c>
      <c r="G702" s="24">
        <v>4.0999999999999996</v>
      </c>
      <c r="H702">
        <f>IF(MONTH(Table13[[#This Row],[Date of Call]])&lt;6, YEAR(Table13[[#This Row],[Date of Call]]),YEAR(Table13[[#This Row],[Date of Call]])+1)</f>
        <v>2024</v>
      </c>
      <c r="I702" t="str">
        <f>TEXT(Table13[[#This Row],[Date of Call]],"dddd")</f>
        <v>Wednesday</v>
      </c>
      <c r="J7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2">
        <f>ROUND(Table13[[#This Row],[Satisfaction Rating]],0)</f>
        <v>4</v>
      </c>
    </row>
    <row r="703" spans="1:11" x14ac:dyDescent="0.3">
      <c r="A703" s="23" t="s">
        <v>744</v>
      </c>
      <c r="B703" s="6" t="s">
        <v>7</v>
      </c>
      <c r="C703" s="6">
        <v>51</v>
      </c>
      <c r="D703" s="13" t="s">
        <v>32</v>
      </c>
      <c r="E703" s="14">
        <v>45168</v>
      </c>
      <c r="F703" s="6">
        <v>111</v>
      </c>
      <c r="G703" s="24">
        <v>4.3</v>
      </c>
      <c r="H703">
        <f>IF(MONTH(Table13[[#This Row],[Date of Call]])&lt;6, YEAR(Table13[[#This Row],[Date of Call]]),YEAR(Table13[[#This Row],[Date of Call]])+1)</f>
        <v>2024</v>
      </c>
      <c r="I703" t="str">
        <f>TEXT(Table13[[#This Row],[Date of Call]],"dddd")</f>
        <v>Wednesday</v>
      </c>
      <c r="J7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03">
        <f>ROUND(Table13[[#This Row],[Satisfaction Rating]],0)</f>
        <v>4</v>
      </c>
    </row>
    <row r="704" spans="1:11" x14ac:dyDescent="0.3">
      <c r="A704" s="23" t="s">
        <v>745</v>
      </c>
      <c r="B704" s="6" t="s">
        <v>7</v>
      </c>
      <c r="C704" s="6">
        <v>100</v>
      </c>
      <c r="D704" s="13" t="s">
        <v>29</v>
      </c>
      <c r="E704" s="14">
        <v>45169</v>
      </c>
      <c r="F704" s="6">
        <v>45</v>
      </c>
      <c r="G704" s="24">
        <v>4.9000000000000004</v>
      </c>
      <c r="H704">
        <f>IF(MONTH(Table13[[#This Row],[Date of Call]])&lt;6, YEAR(Table13[[#This Row],[Date of Call]]),YEAR(Table13[[#This Row],[Date of Call]])+1)</f>
        <v>2024</v>
      </c>
      <c r="I704" t="str">
        <f>TEXT(Table13[[#This Row],[Date of Call]],"dddd")</f>
        <v>Thursday</v>
      </c>
      <c r="J7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4">
        <f>ROUND(Table13[[#This Row],[Satisfaction Rating]],0)</f>
        <v>5</v>
      </c>
    </row>
    <row r="705" spans="1:11" x14ac:dyDescent="0.3">
      <c r="A705" s="23" t="s">
        <v>746</v>
      </c>
      <c r="B705" s="6" t="s">
        <v>16</v>
      </c>
      <c r="C705" s="6">
        <v>124</v>
      </c>
      <c r="D705" s="13" t="s">
        <v>32</v>
      </c>
      <c r="E705" s="14">
        <v>45170</v>
      </c>
      <c r="F705" s="6">
        <v>132</v>
      </c>
      <c r="G705" s="24">
        <v>4</v>
      </c>
      <c r="H705">
        <f>IF(MONTH(Table13[[#This Row],[Date of Call]])&lt;6, YEAR(Table13[[#This Row],[Date of Call]]),YEAR(Table13[[#This Row],[Date of Call]])+1)</f>
        <v>2024</v>
      </c>
      <c r="I705" t="str">
        <f>TEXT(Table13[[#This Row],[Date of Call]],"dddd")</f>
        <v>Friday</v>
      </c>
      <c r="J7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05">
        <f>ROUND(Table13[[#This Row],[Satisfaction Rating]],0)</f>
        <v>4</v>
      </c>
    </row>
    <row r="706" spans="1:11" x14ac:dyDescent="0.3">
      <c r="A706" s="23" t="s">
        <v>747</v>
      </c>
      <c r="B706" s="6" t="s">
        <v>6</v>
      </c>
      <c r="C706" s="6">
        <v>143</v>
      </c>
      <c r="D706" s="13" t="s">
        <v>30</v>
      </c>
      <c r="E706" s="14">
        <v>45170</v>
      </c>
      <c r="F706" s="6">
        <v>20</v>
      </c>
      <c r="G706" s="24">
        <v>4.7</v>
      </c>
      <c r="H706">
        <f>IF(MONTH(Table13[[#This Row],[Date of Call]])&lt;6, YEAR(Table13[[#This Row],[Date of Call]]),YEAR(Table13[[#This Row],[Date of Call]])+1)</f>
        <v>2024</v>
      </c>
      <c r="I706" t="str">
        <f>TEXT(Table13[[#This Row],[Date of Call]],"dddd")</f>
        <v>Friday</v>
      </c>
      <c r="J7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06">
        <f>ROUND(Table13[[#This Row],[Satisfaction Rating]],0)</f>
        <v>5</v>
      </c>
    </row>
    <row r="707" spans="1:11" x14ac:dyDescent="0.3">
      <c r="A707" s="23" t="s">
        <v>748</v>
      </c>
      <c r="B707" s="6" t="s">
        <v>13</v>
      </c>
      <c r="C707" s="6">
        <v>96</v>
      </c>
      <c r="D707" s="13" t="s">
        <v>31</v>
      </c>
      <c r="E707" s="14">
        <v>45170</v>
      </c>
      <c r="F707" s="6">
        <v>36</v>
      </c>
      <c r="G707" s="24">
        <v>3.4</v>
      </c>
      <c r="H707">
        <f>IF(MONTH(Table13[[#This Row],[Date of Call]])&lt;6, YEAR(Table13[[#This Row],[Date of Call]]),YEAR(Table13[[#This Row],[Date of Call]])+1)</f>
        <v>2024</v>
      </c>
      <c r="I707" t="str">
        <f>TEXT(Table13[[#This Row],[Date of Call]],"dddd")</f>
        <v>Friday</v>
      </c>
      <c r="J7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7">
        <f>ROUND(Table13[[#This Row],[Satisfaction Rating]],0)</f>
        <v>3</v>
      </c>
    </row>
    <row r="708" spans="1:11" x14ac:dyDescent="0.3">
      <c r="A708" s="23" t="s">
        <v>749</v>
      </c>
      <c r="B708" s="6" t="s">
        <v>4</v>
      </c>
      <c r="C708" s="6">
        <v>84</v>
      </c>
      <c r="D708" s="13" t="s">
        <v>29</v>
      </c>
      <c r="E708" s="14">
        <v>45172</v>
      </c>
      <c r="F708" s="6">
        <v>72</v>
      </c>
      <c r="G708" s="24">
        <v>4</v>
      </c>
      <c r="H708">
        <f>IF(MONTH(Table13[[#This Row],[Date of Call]])&lt;6, YEAR(Table13[[#This Row],[Date of Call]]),YEAR(Table13[[#This Row],[Date of Call]])+1)</f>
        <v>2024</v>
      </c>
      <c r="I708" t="str">
        <f>TEXT(Table13[[#This Row],[Date of Call]],"dddd")</f>
        <v>Sunday</v>
      </c>
      <c r="J7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8">
        <f>ROUND(Table13[[#This Row],[Satisfaction Rating]],0)</f>
        <v>4</v>
      </c>
    </row>
    <row r="709" spans="1:11" x14ac:dyDescent="0.3">
      <c r="A709" s="23" t="s">
        <v>750</v>
      </c>
      <c r="B709" s="6" t="s">
        <v>12</v>
      </c>
      <c r="C709" s="6">
        <v>111</v>
      </c>
      <c r="D709" s="13" t="s">
        <v>29</v>
      </c>
      <c r="E709" s="14">
        <v>45172</v>
      </c>
      <c r="F709" s="6">
        <v>63</v>
      </c>
      <c r="G709" s="24">
        <v>4.5</v>
      </c>
      <c r="H709">
        <f>IF(MONTH(Table13[[#This Row],[Date of Call]])&lt;6, YEAR(Table13[[#This Row],[Date of Call]]),YEAR(Table13[[#This Row],[Date of Call]])+1)</f>
        <v>2024</v>
      </c>
      <c r="I709" t="str">
        <f>TEXT(Table13[[#This Row],[Date of Call]],"dddd")</f>
        <v>Sunday</v>
      </c>
      <c r="J7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09">
        <f>ROUND(Table13[[#This Row],[Satisfaction Rating]],0)</f>
        <v>5</v>
      </c>
    </row>
    <row r="710" spans="1:11" x14ac:dyDescent="0.3">
      <c r="A710" s="23" t="s">
        <v>751</v>
      </c>
      <c r="B710" s="6" t="s">
        <v>12</v>
      </c>
      <c r="C710" s="6">
        <v>103</v>
      </c>
      <c r="D710" s="13" t="s">
        <v>32</v>
      </c>
      <c r="E710" s="14">
        <v>45173</v>
      </c>
      <c r="F710" s="6">
        <v>44</v>
      </c>
      <c r="G710" s="24">
        <v>4.5</v>
      </c>
      <c r="H710">
        <f>IF(MONTH(Table13[[#This Row],[Date of Call]])&lt;6, YEAR(Table13[[#This Row],[Date of Call]]),YEAR(Table13[[#This Row],[Date of Call]])+1)</f>
        <v>2024</v>
      </c>
      <c r="I710" t="str">
        <f>TEXT(Table13[[#This Row],[Date of Call]],"dddd")</f>
        <v>Monday</v>
      </c>
      <c r="J7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10">
        <f>ROUND(Table13[[#This Row],[Satisfaction Rating]],0)</f>
        <v>5</v>
      </c>
    </row>
    <row r="711" spans="1:11" x14ac:dyDescent="0.3">
      <c r="A711" s="23" t="s">
        <v>752</v>
      </c>
      <c r="B711" s="6" t="s">
        <v>6</v>
      </c>
      <c r="C711" s="6">
        <v>61</v>
      </c>
      <c r="D711" s="13" t="s">
        <v>28</v>
      </c>
      <c r="E711" s="14">
        <v>45173</v>
      </c>
      <c r="F711" s="6">
        <v>132</v>
      </c>
      <c r="G711" s="24">
        <v>4.9000000000000004</v>
      </c>
      <c r="H711">
        <f>IF(MONTH(Table13[[#This Row],[Date of Call]])&lt;6, YEAR(Table13[[#This Row],[Date of Call]]),YEAR(Table13[[#This Row],[Date of Call]])+1)</f>
        <v>2024</v>
      </c>
      <c r="I711" t="str">
        <f>TEXT(Table13[[#This Row],[Date of Call]],"dddd")</f>
        <v>Monday</v>
      </c>
      <c r="J7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11">
        <f>ROUND(Table13[[#This Row],[Satisfaction Rating]],0)</f>
        <v>5</v>
      </c>
    </row>
    <row r="712" spans="1:11" x14ac:dyDescent="0.3">
      <c r="A712" s="23" t="s">
        <v>753</v>
      </c>
      <c r="B712" s="6" t="s">
        <v>15</v>
      </c>
      <c r="C712" s="6">
        <v>113</v>
      </c>
      <c r="D712" s="13" t="s">
        <v>31</v>
      </c>
      <c r="E712" s="14">
        <v>45173</v>
      </c>
      <c r="F712" s="6">
        <v>46</v>
      </c>
      <c r="G712" s="24">
        <v>4.4000000000000004</v>
      </c>
      <c r="H712">
        <f>IF(MONTH(Table13[[#This Row],[Date of Call]])&lt;6, YEAR(Table13[[#This Row],[Date of Call]]),YEAR(Table13[[#This Row],[Date of Call]])+1)</f>
        <v>2024</v>
      </c>
      <c r="I712" t="str">
        <f>TEXT(Table13[[#This Row],[Date of Call]],"dddd")</f>
        <v>Monday</v>
      </c>
      <c r="J7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12">
        <f>ROUND(Table13[[#This Row],[Satisfaction Rating]],0)</f>
        <v>4</v>
      </c>
    </row>
    <row r="713" spans="1:11" x14ac:dyDescent="0.3">
      <c r="A713" s="23" t="s">
        <v>754</v>
      </c>
      <c r="B713" s="6" t="s">
        <v>15</v>
      </c>
      <c r="C713" s="6">
        <v>96</v>
      </c>
      <c r="D713" s="13" t="s">
        <v>31</v>
      </c>
      <c r="E713" s="14">
        <v>45173</v>
      </c>
      <c r="F713" s="6">
        <v>96</v>
      </c>
      <c r="G713" s="24">
        <v>2.9</v>
      </c>
      <c r="H713">
        <f>IF(MONTH(Table13[[#This Row],[Date of Call]])&lt;6, YEAR(Table13[[#This Row],[Date of Call]]),YEAR(Table13[[#This Row],[Date of Call]])+1)</f>
        <v>2024</v>
      </c>
      <c r="I713" t="str">
        <f>TEXT(Table13[[#This Row],[Date of Call]],"dddd")</f>
        <v>Monday</v>
      </c>
      <c r="J7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13">
        <f>ROUND(Table13[[#This Row],[Satisfaction Rating]],0)</f>
        <v>3</v>
      </c>
    </row>
    <row r="714" spans="1:11" x14ac:dyDescent="0.3">
      <c r="A714" s="23" t="s">
        <v>755</v>
      </c>
      <c r="B714" s="6" t="s">
        <v>5</v>
      </c>
      <c r="C714" s="6">
        <v>131</v>
      </c>
      <c r="D714" s="13" t="s">
        <v>32</v>
      </c>
      <c r="E714" s="14">
        <v>45174</v>
      </c>
      <c r="F714" s="6">
        <v>75</v>
      </c>
      <c r="G714" s="24">
        <v>4.4000000000000004</v>
      </c>
      <c r="H714">
        <f>IF(MONTH(Table13[[#This Row],[Date of Call]])&lt;6, YEAR(Table13[[#This Row],[Date of Call]]),YEAR(Table13[[#This Row],[Date of Call]])+1)</f>
        <v>2024</v>
      </c>
      <c r="I714" t="str">
        <f>TEXT(Table13[[#This Row],[Date of Call]],"dddd")</f>
        <v>Tuesday</v>
      </c>
      <c r="J7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14">
        <f>ROUND(Table13[[#This Row],[Satisfaction Rating]],0)</f>
        <v>4</v>
      </c>
    </row>
    <row r="715" spans="1:11" x14ac:dyDescent="0.3">
      <c r="A715" s="23" t="s">
        <v>756</v>
      </c>
      <c r="B715" s="6" t="s">
        <v>10</v>
      </c>
      <c r="C715" s="6">
        <v>52</v>
      </c>
      <c r="D715" s="13" t="s">
        <v>31</v>
      </c>
      <c r="E715" s="14">
        <v>45175</v>
      </c>
      <c r="F715" s="6">
        <v>88</v>
      </c>
      <c r="G715" s="24">
        <v>4.3</v>
      </c>
      <c r="H715">
        <f>IF(MONTH(Table13[[#This Row],[Date of Call]])&lt;6, YEAR(Table13[[#This Row],[Date of Call]]),YEAR(Table13[[#This Row],[Date of Call]])+1)</f>
        <v>2024</v>
      </c>
      <c r="I715" t="str">
        <f>TEXT(Table13[[#This Row],[Date of Call]],"dddd")</f>
        <v>Wednesday</v>
      </c>
      <c r="J7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15">
        <f>ROUND(Table13[[#This Row],[Satisfaction Rating]],0)</f>
        <v>4</v>
      </c>
    </row>
    <row r="716" spans="1:11" x14ac:dyDescent="0.3">
      <c r="A716" s="23" t="s">
        <v>757</v>
      </c>
      <c r="B716" s="6" t="s">
        <v>7</v>
      </c>
      <c r="C716" s="6">
        <v>100</v>
      </c>
      <c r="D716" s="13" t="s">
        <v>32</v>
      </c>
      <c r="E716" s="14">
        <v>45175</v>
      </c>
      <c r="F716" s="6">
        <v>24</v>
      </c>
      <c r="G716" s="24">
        <v>4.7</v>
      </c>
      <c r="H716">
        <f>IF(MONTH(Table13[[#This Row],[Date of Call]])&lt;6, YEAR(Table13[[#This Row],[Date of Call]]),YEAR(Table13[[#This Row],[Date of Call]])+1)</f>
        <v>2024</v>
      </c>
      <c r="I716" t="str">
        <f>TEXT(Table13[[#This Row],[Date of Call]],"dddd")</f>
        <v>Wednesday</v>
      </c>
      <c r="J7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16">
        <f>ROUND(Table13[[#This Row],[Satisfaction Rating]],0)</f>
        <v>5</v>
      </c>
    </row>
    <row r="717" spans="1:11" x14ac:dyDescent="0.3">
      <c r="A717" s="23" t="s">
        <v>758</v>
      </c>
      <c r="B717" s="6" t="s">
        <v>17</v>
      </c>
      <c r="C717" s="6">
        <v>58</v>
      </c>
      <c r="D717" s="13" t="s">
        <v>30</v>
      </c>
      <c r="E717" s="14">
        <v>45175</v>
      </c>
      <c r="F717" s="6">
        <v>96</v>
      </c>
      <c r="G717" s="24">
        <v>3.2</v>
      </c>
      <c r="H717">
        <f>IF(MONTH(Table13[[#This Row],[Date of Call]])&lt;6, YEAR(Table13[[#This Row],[Date of Call]]),YEAR(Table13[[#This Row],[Date of Call]])+1)</f>
        <v>2024</v>
      </c>
      <c r="I717" t="str">
        <f>TEXT(Table13[[#This Row],[Date of Call]],"dddd")</f>
        <v>Wednesday</v>
      </c>
      <c r="J7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17">
        <f>ROUND(Table13[[#This Row],[Satisfaction Rating]],0)</f>
        <v>3</v>
      </c>
    </row>
    <row r="718" spans="1:11" x14ac:dyDescent="0.3">
      <c r="A718" s="23" t="s">
        <v>759</v>
      </c>
      <c r="B718" s="6" t="s">
        <v>14</v>
      </c>
      <c r="C718" s="6">
        <v>144</v>
      </c>
      <c r="D718" s="13" t="s">
        <v>30</v>
      </c>
      <c r="E718" s="14">
        <v>45176</v>
      </c>
      <c r="F718" s="6">
        <v>124</v>
      </c>
      <c r="G718" s="24">
        <v>2.2999999999999998</v>
      </c>
      <c r="H718">
        <f>IF(MONTH(Table13[[#This Row],[Date of Call]])&lt;6, YEAR(Table13[[#This Row],[Date of Call]]),YEAR(Table13[[#This Row],[Date of Call]])+1)</f>
        <v>2024</v>
      </c>
      <c r="I718" t="str">
        <f>TEXT(Table13[[#This Row],[Date of Call]],"dddd")</f>
        <v>Thursday</v>
      </c>
      <c r="J7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18">
        <f>ROUND(Table13[[#This Row],[Satisfaction Rating]],0)</f>
        <v>2</v>
      </c>
    </row>
    <row r="719" spans="1:11" x14ac:dyDescent="0.3">
      <c r="A719" s="23" t="s">
        <v>760</v>
      </c>
      <c r="B719" s="6" t="s">
        <v>17</v>
      </c>
      <c r="C719" s="6">
        <v>53</v>
      </c>
      <c r="D719" s="13" t="s">
        <v>28</v>
      </c>
      <c r="E719" s="14">
        <v>45177</v>
      </c>
      <c r="F719" s="6">
        <v>130</v>
      </c>
      <c r="G719" s="24">
        <v>3.6</v>
      </c>
      <c r="H719">
        <f>IF(MONTH(Table13[[#This Row],[Date of Call]])&lt;6, YEAR(Table13[[#This Row],[Date of Call]]),YEAR(Table13[[#This Row],[Date of Call]])+1)</f>
        <v>2024</v>
      </c>
      <c r="I719" t="str">
        <f>TEXT(Table13[[#This Row],[Date of Call]],"dddd")</f>
        <v>Friday</v>
      </c>
      <c r="J7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19">
        <f>ROUND(Table13[[#This Row],[Satisfaction Rating]],0)</f>
        <v>4</v>
      </c>
    </row>
    <row r="720" spans="1:11" x14ac:dyDescent="0.3">
      <c r="A720" s="23" t="s">
        <v>761</v>
      </c>
      <c r="B720" s="6" t="s">
        <v>15</v>
      </c>
      <c r="C720" s="6">
        <v>97</v>
      </c>
      <c r="D720" s="13" t="s">
        <v>29</v>
      </c>
      <c r="E720" s="14">
        <v>45177</v>
      </c>
      <c r="F720" s="6">
        <v>45</v>
      </c>
      <c r="G720" s="24">
        <v>4.5999999999999996</v>
      </c>
      <c r="H720">
        <f>IF(MONTH(Table13[[#This Row],[Date of Call]])&lt;6, YEAR(Table13[[#This Row],[Date of Call]]),YEAR(Table13[[#This Row],[Date of Call]])+1)</f>
        <v>2024</v>
      </c>
      <c r="I720" t="str">
        <f>TEXT(Table13[[#This Row],[Date of Call]],"dddd")</f>
        <v>Friday</v>
      </c>
      <c r="J7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20">
        <f>ROUND(Table13[[#This Row],[Satisfaction Rating]],0)</f>
        <v>5</v>
      </c>
    </row>
    <row r="721" spans="1:11" x14ac:dyDescent="0.3">
      <c r="A721" s="23" t="s">
        <v>762</v>
      </c>
      <c r="B721" s="6" t="s">
        <v>8</v>
      </c>
      <c r="C721" s="6">
        <v>64</v>
      </c>
      <c r="D721" s="13" t="s">
        <v>30</v>
      </c>
      <c r="E721" s="14">
        <v>45177</v>
      </c>
      <c r="F721" s="6">
        <v>66</v>
      </c>
      <c r="G721" s="24">
        <v>4</v>
      </c>
      <c r="H721">
        <f>IF(MONTH(Table13[[#This Row],[Date of Call]])&lt;6, YEAR(Table13[[#This Row],[Date of Call]]),YEAR(Table13[[#This Row],[Date of Call]])+1)</f>
        <v>2024</v>
      </c>
      <c r="I721" t="str">
        <f>TEXT(Table13[[#This Row],[Date of Call]],"dddd")</f>
        <v>Friday</v>
      </c>
      <c r="J7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21">
        <f>ROUND(Table13[[#This Row],[Satisfaction Rating]],0)</f>
        <v>4</v>
      </c>
    </row>
    <row r="722" spans="1:11" x14ac:dyDescent="0.3">
      <c r="A722" s="23" t="s">
        <v>763</v>
      </c>
      <c r="B722" s="6" t="s">
        <v>6</v>
      </c>
      <c r="C722" s="6">
        <v>106</v>
      </c>
      <c r="D722" s="13" t="s">
        <v>32</v>
      </c>
      <c r="E722" s="14">
        <v>45177</v>
      </c>
      <c r="F722" s="6">
        <v>58</v>
      </c>
      <c r="G722" s="24">
        <v>4.7</v>
      </c>
      <c r="H722">
        <f>IF(MONTH(Table13[[#This Row],[Date of Call]])&lt;6, YEAR(Table13[[#This Row],[Date of Call]]),YEAR(Table13[[#This Row],[Date of Call]])+1)</f>
        <v>2024</v>
      </c>
      <c r="I722" t="str">
        <f>TEXT(Table13[[#This Row],[Date of Call]],"dddd")</f>
        <v>Friday</v>
      </c>
      <c r="J7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22">
        <f>ROUND(Table13[[#This Row],[Satisfaction Rating]],0)</f>
        <v>5</v>
      </c>
    </row>
    <row r="723" spans="1:11" x14ac:dyDescent="0.3">
      <c r="A723" s="23" t="s">
        <v>764</v>
      </c>
      <c r="B723" s="6" t="s">
        <v>4</v>
      </c>
      <c r="C723" s="6">
        <v>36</v>
      </c>
      <c r="D723" s="13" t="s">
        <v>30</v>
      </c>
      <c r="E723" s="14">
        <v>45178</v>
      </c>
      <c r="F723" s="6">
        <v>152</v>
      </c>
      <c r="G723" s="24">
        <v>4.3</v>
      </c>
      <c r="H723">
        <f>IF(MONTH(Table13[[#This Row],[Date of Call]])&lt;6, YEAR(Table13[[#This Row],[Date of Call]]),YEAR(Table13[[#This Row],[Date of Call]])+1)</f>
        <v>2024</v>
      </c>
      <c r="I723" t="str">
        <f>TEXT(Table13[[#This Row],[Date of Call]],"dddd")</f>
        <v>Saturday</v>
      </c>
      <c r="J7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23">
        <f>ROUND(Table13[[#This Row],[Satisfaction Rating]],0)</f>
        <v>4</v>
      </c>
    </row>
    <row r="724" spans="1:11" x14ac:dyDescent="0.3">
      <c r="A724" s="23" t="s">
        <v>765</v>
      </c>
      <c r="B724" s="6" t="s">
        <v>14</v>
      </c>
      <c r="C724" s="6">
        <v>74</v>
      </c>
      <c r="D724" s="13" t="s">
        <v>31</v>
      </c>
      <c r="E724" s="14">
        <v>45178</v>
      </c>
      <c r="F724" s="6">
        <v>75</v>
      </c>
      <c r="G724" s="24">
        <v>2.8</v>
      </c>
      <c r="H724">
        <f>IF(MONTH(Table13[[#This Row],[Date of Call]])&lt;6, YEAR(Table13[[#This Row],[Date of Call]]),YEAR(Table13[[#This Row],[Date of Call]])+1)</f>
        <v>2024</v>
      </c>
      <c r="I724" t="str">
        <f>TEXT(Table13[[#This Row],[Date of Call]],"dddd")</f>
        <v>Saturday</v>
      </c>
      <c r="J7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24">
        <f>ROUND(Table13[[#This Row],[Satisfaction Rating]],0)</f>
        <v>3</v>
      </c>
    </row>
    <row r="725" spans="1:11" x14ac:dyDescent="0.3">
      <c r="A725" s="23" t="s">
        <v>766</v>
      </c>
      <c r="B725" s="6" t="s">
        <v>9</v>
      </c>
      <c r="C725" s="6">
        <v>143</v>
      </c>
      <c r="D725" s="13" t="s">
        <v>29</v>
      </c>
      <c r="E725" s="14">
        <v>45178</v>
      </c>
      <c r="F725" s="6">
        <v>78</v>
      </c>
      <c r="G725" s="24">
        <v>4</v>
      </c>
      <c r="H725">
        <f>IF(MONTH(Table13[[#This Row],[Date of Call]])&lt;6, YEAR(Table13[[#This Row],[Date of Call]]),YEAR(Table13[[#This Row],[Date of Call]])+1)</f>
        <v>2024</v>
      </c>
      <c r="I725" t="str">
        <f>TEXT(Table13[[#This Row],[Date of Call]],"dddd")</f>
        <v>Saturday</v>
      </c>
      <c r="J7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25">
        <f>ROUND(Table13[[#This Row],[Satisfaction Rating]],0)</f>
        <v>4</v>
      </c>
    </row>
    <row r="726" spans="1:11" x14ac:dyDescent="0.3">
      <c r="A726" s="23" t="s">
        <v>767</v>
      </c>
      <c r="B726" s="6" t="s">
        <v>6</v>
      </c>
      <c r="C726" s="6">
        <v>94</v>
      </c>
      <c r="D726" s="13" t="s">
        <v>28</v>
      </c>
      <c r="E726" s="14">
        <v>45178</v>
      </c>
      <c r="F726" s="6">
        <v>69</v>
      </c>
      <c r="G726" s="24">
        <v>3.9</v>
      </c>
      <c r="H726">
        <f>IF(MONTH(Table13[[#This Row],[Date of Call]])&lt;6, YEAR(Table13[[#This Row],[Date of Call]]),YEAR(Table13[[#This Row],[Date of Call]])+1)</f>
        <v>2024</v>
      </c>
      <c r="I726" t="str">
        <f>TEXT(Table13[[#This Row],[Date of Call]],"dddd")</f>
        <v>Saturday</v>
      </c>
      <c r="J7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26">
        <f>ROUND(Table13[[#This Row],[Satisfaction Rating]],0)</f>
        <v>4</v>
      </c>
    </row>
    <row r="727" spans="1:11" x14ac:dyDescent="0.3">
      <c r="A727" s="23" t="s">
        <v>768</v>
      </c>
      <c r="B727" s="6" t="s">
        <v>18</v>
      </c>
      <c r="C727" s="6">
        <v>124</v>
      </c>
      <c r="D727" s="13" t="s">
        <v>32</v>
      </c>
      <c r="E727" s="14">
        <v>45179</v>
      </c>
      <c r="F727" s="6">
        <v>46</v>
      </c>
      <c r="G727" s="24">
        <v>3.1</v>
      </c>
      <c r="H727">
        <f>IF(MONTH(Table13[[#This Row],[Date of Call]])&lt;6, YEAR(Table13[[#This Row],[Date of Call]]),YEAR(Table13[[#This Row],[Date of Call]])+1)</f>
        <v>2024</v>
      </c>
      <c r="I727" t="str">
        <f>TEXT(Table13[[#This Row],[Date of Call]],"dddd")</f>
        <v>Sunday</v>
      </c>
      <c r="J7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27">
        <f>ROUND(Table13[[#This Row],[Satisfaction Rating]],0)</f>
        <v>3</v>
      </c>
    </row>
    <row r="728" spans="1:11" x14ac:dyDescent="0.3">
      <c r="A728" s="23" t="s">
        <v>769</v>
      </c>
      <c r="B728" s="6" t="s">
        <v>4</v>
      </c>
      <c r="C728" s="6">
        <v>156</v>
      </c>
      <c r="D728" s="13" t="s">
        <v>30</v>
      </c>
      <c r="E728" s="14">
        <v>45179</v>
      </c>
      <c r="F728" s="6">
        <v>64</v>
      </c>
      <c r="G728" s="24">
        <v>2.7</v>
      </c>
      <c r="H728">
        <f>IF(MONTH(Table13[[#This Row],[Date of Call]])&lt;6, YEAR(Table13[[#This Row],[Date of Call]]),YEAR(Table13[[#This Row],[Date of Call]])+1)</f>
        <v>2024</v>
      </c>
      <c r="I728" t="str">
        <f>TEXT(Table13[[#This Row],[Date of Call]],"dddd")</f>
        <v>Sunday</v>
      </c>
      <c r="J7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28">
        <f>ROUND(Table13[[#This Row],[Satisfaction Rating]],0)</f>
        <v>3</v>
      </c>
    </row>
    <row r="729" spans="1:11" x14ac:dyDescent="0.3">
      <c r="A729" s="23" t="s">
        <v>770</v>
      </c>
      <c r="B729" s="6" t="s">
        <v>13</v>
      </c>
      <c r="C729" s="6">
        <v>107</v>
      </c>
      <c r="D729" s="13" t="s">
        <v>29</v>
      </c>
      <c r="E729" s="14">
        <v>45179</v>
      </c>
      <c r="F729" s="6">
        <v>38</v>
      </c>
      <c r="G729" s="24">
        <v>4.7</v>
      </c>
      <c r="H729">
        <f>IF(MONTH(Table13[[#This Row],[Date of Call]])&lt;6, YEAR(Table13[[#This Row],[Date of Call]]),YEAR(Table13[[#This Row],[Date of Call]])+1)</f>
        <v>2024</v>
      </c>
      <c r="I729" t="str">
        <f>TEXT(Table13[[#This Row],[Date of Call]],"dddd")</f>
        <v>Sunday</v>
      </c>
      <c r="J7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29">
        <f>ROUND(Table13[[#This Row],[Satisfaction Rating]],0)</f>
        <v>5</v>
      </c>
    </row>
    <row r="730" spans="1:11" x14ac:dyDescent="0.3">
      <c r="A730" s="23" t="s">
        <v>771</v>
      </c>
      <c r="B730" s="6" t="s">
        <v>6</v>
      </c>
      <c r="C730" s="6">
        <v>58</v>
      </c>
      <c r="D730" s="13" t="s">
        <v>29</v>
      </c>
      <c r="E730" s="14">
        <v>45181</v>
      </c>
      <c r="F730" s="6">
        <v>90</v>
      </c>
      <c r="G730" s="24">
        <v>4.3</v>
      </c>
      <c r="H730">
        <f>IF(MONTH(Table13[[#This Row],[Date of Call]])&lt;6, YEAR(Table13[[#This Row],[Date of Call]]),YEAR(Table13[[#This Row],[Date of Call]])+1)</f>
        <v>2024</v>
      </c>
      <c r="I730" t="str">
        <f>TEXT(Table13[[#This Row],[Date of Call]],"dddd")</f>
        <v>Tuesday</v>
      </c>
      <c r="J7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30">
        <f>ROUND(Table13[[#This Row],[Satisfaction Rating]],0)</f>
        <v>4</v>
      </c>
    </row>
    <row r="731" spans="1:11" x14ac:dyDescent="0.3">
      <c r="A731" s="23" t="s">
        <v>772</v>
      </c>
      <c r="B731" s="6" t="s">
        <v>16</v>
      </c>
      <c r="C731" s="6">
        <v>66</v>
      </c>
      <c r="D731" s="13" t="s">
        <v>29</v>
      </c>
      <c r="E731" s="14">
        <v>45181</v>
      </c>
      <c r="F731" s="6">
        <v>32</v>
      </c>
      <c r="G731" s="24">
        <v>3.8</v>
      </c>
      <c r="H731">
        <f>IF(MONTH(Table13[[#This Row],[Date of Call]])&lt;6, YEAR(Table13[[#This Row],[Date of Call]]),YEAR(Table13[[#This Row],[Date of Call]])+1)</f>
        <v>2024</v>
      </c>
      <c r="I731" t="str">
        <f>TEXT(Table13[[#This Row],[Date of Call]],"dddd")</f>
        <v>Tuesday</v>
      </c>
      <c r="J7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31">
        <f>ROUND(Table13[[#This Row],[Satisfaction Rating]],0)</f>
        <v>4</v>
      </c>
    </row>
    <row r="732" spans="1:11" x14ac:dyDescent="0.3">
      <c r="A732" s="23" t="s">
        <v>773</v>
      </c>
      <c r="B732" s="6" t="s">
        <v>5</v>
      </c>
      <c r="C732" s="6">
        <v>75</v>
      </c>
      <c r="D732" s="13" t="s">
        <v>30</v>
      </c>
      <c r="E732" s="14">
        <v>45181</v>
      </c>
      <c r="F732" s="6">
        <v>120</v>
      </c>
      <c r="G732" s="24">
        <v>4.4000000000000004</v>
      </c>
      <c r="H732">
        <f>IF(MONTH(Table13[[#This Row],[Date of Call]])&lt;6, YEAR(Table13[[#This Row],[Date of Call]]),YEAR(Table13[[#This Row],[Date of Call]])+1)</f>
        <v>2024</v>
      </c>
      <c r="I732" t="str">
        <f>TEXT(Table13[[#This Row],[Date of Call]],"dddd")</f>
        <v>Tuesday</v>
      </c>
      <c r="J7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32">
        <f>ROUND(Table13[[#This Row],[Satisfaction Rating]],0)</f>
        <v>4</v>
      </c>
    </row>
    <row r="733" spans="1:11" x14ac:dyDescent="0.3">
      <c r="A733" s="23" t="s">
        <v>774</v>
      </c>
      <c r="B733" s="6" t="s">
        <v>13</v>
      </c>
      <c r="C733" s="6">
        <v>8</v>
      </c>
      <c r="D733" s="13" t="s">
        <v>29</v>
      </c>
      <c r="E733" s="14">
        <v>45181</v>
      </c>
      <c r="F733" s="6">
        <v>31</v>
      </c>
      <c r="G733" s="24">
        <v>3.9</v>
      </c>
      <c r="H733">
        <f>IF(MONTH(Table13[[#This Row],[Date of Call]])&lt;6, YEAR(Table13[[#This Row],[Date of Call]]),YEAR(Table13[[#This Row],[Date of Call]])+1)</f>
        <v>2024</v>
      </c>
      <c r="I733" t="str">
        <f>TEXT(Table13[[#This Row],[Date of Call]],"dddd")</f>
        <v>Tuesday</v>
      </c>
      <c r="J7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733">
        <f>ROUND(Table13[[#This Row],[Satisfaction Rating]],0)</f>
        <v>4</v>
      </c>
    </row>
    <row r="734" spans="1:11" x14ac:dyDescent="0.3">
      <c r="A734" s="23" t="s">
        <v>775</v>
      </c>
      <c r="B734" s="6" t="s">
        <v>8</v>
      </c>
      <c r="C734" s="6">
        <v>76</v>
      </c>
      <c r="D734" s="13" t="s">
        <v>30</v>
      </c>
      <c r="E734" s="14">
        <v>45182</v>
      </c>
      <c r="F734" s="6">
        <v>108</v>
      </c>
      <c r="G734" s="24">
        <v>4.9000000000000004</v>
      </c>
      <c r="H734">
        <f>IF(MONTH(Table13[[#This Row],[Date of Call]])&lt;6, YEAR(Table13[[#This Row],[Date of Call]]),YEAR(Table13[[#This Row],[Date of Call]])+1)</f>
        <v>2024</v>
      </c>
      <c r="I734" t="str">
        <f>TEXT(Table13[[#This Row],[Date of Call]],"dddd")</f>
        <v>Wednesday</v>
      </c>
      <c r="J7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34">
        <f>ROUND(Table13[[#This Row],[Satisfaction Rating]],0)</f>
        <v>5</v>
      </c>
    </row>
    <row r="735" spans="1:11" x14ac:dyDescent="0.3">
      <c r="A735" s="23" t="s">
        <v>776</v>
      </c>
      <c r="B735" s="6" t="s">
        <v>6</v>
      </c>
      <c r="C735" s="6">
        <v>110</v>
      </c>
      <c r="D735" s="13" t="s">
        <v>30</v>
      </c>
      <c r="E735" s="14">
        <v>45182</v>
      </c>
      <c r="F735" s="6">
        <v>180</v>
      </c>
      <c r="G735" s="24">
        <v>4.2</v>
      </c>
      <c r="H735">
        <f>IF(MONTH(Table13[[#This Row],[Date of Call]])&lt;6, YEAR(Table13[[#This Row],[Date of Call]]),YEAR(Table13[[#This Row],[Date of Call]])+1)</f>
        <v>2024</v>
      </c>
      <c r="I735" t="str">
        <f>TEXT(Table13[[#This Row],[Date of Call]],"dddd")</f>
        <v>Wednesday</v>
      </c>
      <c r="J7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35">
        <f>ROUND(Table13[[#This Row],[Satisfaction Rating]],0)</f>
        <v>4</v>
      </c>
    </row>
    <row r="736" spans="1:11" x14ac:dyDescent="0.3">
      <c r="A736" s="23" t="s">
        <v>777</v>
      </c>
      <c r="B736" s="6" t="s">
        <v>16</v>
      </c>
      <c r="C736" s="6">
        <v>50</v>
      </c>
      <c r="D736" s="13" t="s">
        <v>28</v>
      </c>
      <c r="E736" s="14">
        <v>45183</v>
      </c>
      <c r="F736" s="6">
        <v>124</v>
      </c>
      <c r="G736" s="24">
        <v>4</v>
      </c>
      <c r="H736">
        <f>IF(MONTH(Table13[[#This Row],[Date of Call]])&lt;6, YEAR(Table13[[#This Row],[Date of Call]]),YEAR(Table13[[#This Row],[Date of Call]])+1)</f>
        <v>2024</v>
      </c>
      <c r="I736" t="str">
        <f>TEXT(Table13[[#This Row],[Date of Call]],"dddd")</f>
        <v>Thursday</v>
      </c>
      <c r="J7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36">
        <f>ROUND(Table13[[#This Row],[Satisfaction Rating]],0)</f>
        <v>4</v>
      </c>
    </row>
    <row r="737" spans="1:11" x14ac:dyDescent="0.3">
      <c r="A737" s="23" t="s">
        <v>778</v>
      </c>
      <c r="B737" s="6" t="s">
        <v>10</v>
      </c>
      <c r="C737" s="6">
        <v>78</v>
      </c>
      <c r="D737" s="13" t="s">
        <v>28</v>
      </c>
      <c r="E737" s="14">
        <v>45183</v>
      </c>
      <c r="F737" s="6">
        <v>23</v>
      </c>
      <c r="G737" s="24">
        <v>4.2</v>
      </c>
      <c r="H737">
        <f>IF(MONTH(Table13[[#This Row],[Date of Call]])&lt;6, YEAR(Table13[[#This Row],[Date of Call]]),YEAR(Table13[[#This Row],[Date of Call]])+1)</f>
        <v>2024</v>
      </c>
      <c r="I737" t="str">
        <f>TEXT(Table13[[#This Row],[Date of Call]],"dddd")</f>
        <v>Thursday</v>
      </c>
      <c r="J7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37">
        <f>ROUND(Table13[[#This Row],[Satisfaction Rating]],0)</f>
        <v>4</v>
      </c>
    </row>
    <row r="738" spans="1:11" x14ac:dyDescent="0.3">
      <c r="A738" s="23" t="s">
        <v>779</v>
      </c>
      <c r="B738" s="6" t="s">
        <v>15</v>
      </c>
      <c r="C738" s="6">
        <v>59</v>
      </c>
      <c r="D738" s="13" t="s">
        <v>32</v>
      </c>
      <c r="E738" s="14">
        <v>45184</v>
      </c>
      <c r="F738" s="6">
        <v>24</v>
      </c>
      <c r="G738" s="24">
        <v>4.8</v>
      </c>
      <c r="H738">
        <f>IF(MONTH(Table13[[#This Row],[Date of Call]])&lt;6, YEAR(Table13[[#This Row],[Date of Call]]),YEAR(Table13[[#This Row],[Date of Call]])+1)</f>
        <v>2024</v>
      </c>
      <c r="I738" t="str">
        <f>TEXT(Table13[[#This Row],[Date of Call]],"dddd")</f>
        <v>Friday</v>
      </c>
      <c r="J7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38">
        <f>ROUND(Table13[[#This Row],[Satisfaction Rating]],0)</f>
        <v>5</v>
      </c>
    </row>
    <row r="739" spans="1:11" x14ac:dyDescent="0.3">
      <c r="A739" s="23" t="s">
        <v>780</v>
      </c>
      <c r="B739" s="6" t="s">
        <v>10</v>
      </c>
      <c r="C739" s="6">
        <v>126</v>
      </c>
      <c r="D739" s="13" t="s">
        <v>29</v>
      </c>
      <c r="E739" s="14">
        <v>45185</v>
      </c>
      <c r="F739" s="6">
        <v>52</v>
      </c>
      <c r="G739" s="24">
        <v>1.1000000000000001</v>
      </c>
      <c r="H739">
        <f>IF(MONTH(Table13[[#This Row],[Date of Call]])&lt;6, YEAR(Table13[[#This Row],[Date of Call]]),YEAR(Table13[[#This Row],[Date of Call]])+1)</f>
        <v>2024</v>
      </c>
      <c r="I739" t="str">
        <f>TEXT(Table13[[#This Row],[Date of Call]],"dddd")</f>
        <v>Saturday</v>
      </c>
      <c r="J7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39">
        <f>ROUND(Table13[[#This Row],[Satisfaction Rating]],0)</f>
        <v>1</v>
      </c>
    </row>
    <row r="740" spans="1:11" x14ac:dyDescent="0.3">
      <c r="A740" s="23" t="s">
        <v>781</v>
      </c>
      <c r="B740" s="6" t="s">
        <v>8</v>
      </c>
      <c r="C740" s="6">
        <v>43</v>
      </c>
      <c r="D740" s="13" t="s">
        <v>32</v>
      </c>
      <c r="E740" s="14">
        <v>45186</v>
      </c>
      <c r="F740" s="6">
        <v>168</v>
      </c>
      <c r="G740" s="24">
        <v>4</v>
      </c>
      <c r="H740">
        <f>IF(MONTH(Table13[[#This Row],[Date of Call]])&lt;6, YEAR(Table13[[#This Row],[Date of Call]]),YEAR(Table13[[#This Row],[Date of Call]])+1)</f>
        <v>2024</v>
      </c>
      <c r="I740" t="str">
        <f>TEXT(Table13[[#This Row],[Date of Call]],"dddd")</f>
        <v>Sunday</v>
      </c>
      <c r="J7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40">
        <f>ROUND(Table13[[#This Row],[Satisfaction Rating]],0)</f>
        <v>4</v>
      </c>
    </row>
    <row r="741" spans="1:11" x14ac:dyDescent="0.3">
      <c r="A741" s="23" t="s">
        <v>782</v>
      </c>
      <c r="B741" s="6" t="s">
        <v>4</v>
      </c>
      <c r="C741" s="6">
        <v>79</v>
      </c>
      <c r="D741" s="13" t="s">
        <v>30</v>
      </c>
      <c r="E741" s="14">
        <v>45188</v>
      </c>
      <c r="F741" s="6">
        <v>125</v>
      </c>
      <c r="G741" s="24">
        <v>4.8</v>
      </c>
      <c r="H741">
        <f>IF(MONTH(Table13[[#This Row],[Date of Call]])&lt;6, YEAR(Table13[[#This Row],[Date of Call]]),YEAR(Table13[[#This Row],[Date of Call]])+1)</f>
        <v>2024</v>
      </c>
      <c r="I741" t="str">
        <f>TEXT(Table13[[#This Row],[Date of Call]],"dddd")</f>
        <v>Tuesday</v>
      </c>
      <c r="J7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41">
        <f>ROUND(Table13[[#This Row],[Satisfaction Rating]],0)</f>
        <v>5</v>
      </c>
    </row>
    <row r="742" spans="1:11" x14ac:dyDescent="0.3">
      <c r="A742" s="23" t="s">
        <v>783</v>
      </c>
      <c r="B742" s="6" t="s">
        <v>6</v>
      </c>
      <c r="C742" s="6">
        <v>71</v>
      </c>
      <c r="D742" s="13" t="s">
        <v>32</v>
      </c>
      <c r="E742" s="14">
        <v>45189</v>
      </c>
      <c r="F742" s="6">
        <v>50</v>
      </c>
      <c r="G742" s="24">
        <v>4.2</v>
      </c>
      <c r="H742">
        <f>IF(MONTH(Table13[[#This Row],[Date of Call]])&lt;6, YEAR(Table13[[#This Row],[Date of Call]]),YEAR(Table13[[#This Row],[Date of Call]])+1)</f>
        <v>2024</v>
      </c>
      <c r="I742" t="str">
        <f>TEXT(Table13[[#This Row],[Date of Call]],"dddd")</f>
        <v>Wednesday</v>
      </c>
      <c r="J7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42">
        <f>ROUND(Table13[[#This Row],[Satisfaction Rating]],0)</f>
        <v>4</v>
      </c>
    </row>
    <row r="743" spans="1:11" x14ac:dyDescent="0.3">
      <c r="A743" s="23" t="s">
        <v>784</v>
      </c>
      <c r="B743" s="6" t="s">
        <v>12</v>
      </c>
      <c r="C743" s="6">
        <v>94</v>
      </c>
      <c r="D743" s="13" t="s">
        <v>29</v>
      </c>
      <c r="E743" s="14">
        <v>45190</v>
      </c>
      <c r="F743" s="6">
        <v>220</v>
      </c>
      <c r="G743" s="24">
        <v>4.5999999999999996</v>
      </c>
      <c r="H743">
        <f>IF(MONTH(Table13[[#This Row],[Date of Call]])&lt;6, YEAR(Table13[[#This Row],[Date of Call]]),YEAR(Table13[[#This Row],[Date of Call]])+1)</f>
        <v>2024</v>
      </c>
      <c r="I743" t="str">
        <f>TEXT(Table13[[#This Row],[Date of Call]],"dddd")</f>
        <v>Thursday</v>
      </c>
      <c r="J7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43">
        <f>ROUND(Table13[[#This Row],[Satisfaction Rating]],0)</f>
        <v>5</v>
      </c>
    </row>
    <row r="744" spans="1:11" x14ac:dyDescent="0.3">
      <c r="A744" s="23" t="s">
        <v>785</v>
      </c>
      <c r="B744" s="6" t="s">
        <v>13</v>
      </c>
      <c r="C744" s="6">
        <v>108</v>
      </c>
      <c r="D744" s="13" t="s">
        <v>32</v>
      </c>
      <c r="E744" s="14">
        <v>45190</v>
      </c>
      <c r="F744" s="6">
        <v>180</v>
      </c>
      <c r="G744" s="24">
        <v>4</v>
      </c>
      <c r="H744">
        <f>IF(MONTH(Table13[[#This Row],[Date of Call]])&lt;6, YEAR(Table13[[#This Row],[Date of Call]]),YEAR(Table13[[#This Row],[Date of Call]])+1)</f>
        <v>2024</v>
      </c>
      <c r="I744" t="str">
        <f>TEXT(Table13[[#This Row],[Date of Call]],"dddd")</f>
        <v>Thursday</v>
      </c>
      <c r="J7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44">
        <f>ROUND(Table13[[#This Row],[Satisfaction Rating]],0)</f>
        <v>4</v>
      </c>
    </row>
    <row r="745" spans="1:11" x14ac:dyDescent="0.3">
      <c r="A745" s="23" t="s">
        <v>786</v>
      </c>
      <c r="B745" s="6" t="s">
        <v>8</v>
      </c>
      <c r="C745" s="6">
        <v>76</v>
      </c>
      <c r="D745" s="13" t="s">
        <v>29</v>
      </c>
      <c r="E745" s="14">
        <v>45190</v>
      </c>
      <c r="F745" s="6">
        <v>110</v>
      </c>
      <c r="G745" s="24">
        <v>3.9</v>
      </c>
      <c r="H745">
        <f>IF(MONTH(Table13[[#This Row],[Date of Call]])&lt;6, YEAR(Table13[[#This Row],[Date of Call]]),YEAR(Table13[[#This Row],[Date of Call]])+1)</f>
        <v>2024</v>
      </c>
      <c r="I745" t="str">
        <f>TEXT(Table13[[#This Row],[Date of Call]],"dddd")</f>
        <v>Thursday</v>
      </c>
      <c r="J7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45">
        <f>ROUND(Table13[[#This Row],[Satisfaction Rating]],0)</f>
        <v>4</v>
      </c>
    </row>
    <row r="746" spans="1:11" x14ac:dyDescent="0.3">
      <c r="A746" s="23" t="s">
        <v>787</v>
      </c>
      <c r="B746" s="6" t="s">
        <v>15</v>
      </c>
      <c r="C746" s="6">
        <v>136</v>
      </c>
      <c r="D746" s="13" t="s">
        <v>32</v>
      </c>
      <c r="E746" s="14">
        <v>45190</v>
      </c>
      <c r="F746" s="6">
        <v>36</v>
      </c>
      <c r="G746" s="24">
        <v>2.8</v>
      </c>
      <c r="H746">
        <f>IF(MONTH(Table13[[#This Row],[Date of Call]])&lt;6, YEAR(Table13[[#This Row],[Date of Call]]),YEAR(Table13[[#This Row],[Date of Call]])+1)</f>
        <v>2024</v>
      </c>
      <c r="I746" t="str">
        <f>TEXT(Table13[[#This Row],[Date of Call]],"dddd")</f>
        <v>Thursday</v>
      </c>
      <c r="J7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46">
        <f>ROUND(Table13[[#This Row],[Satisfaction Rating]],0)</f>
        <v>3</v>
      </c>
    </row>
    <row r="747" spans="1:11" x14ac:dyDescent="0.3">
      <c r="A747" s="23" t="s">
        <v>788</v>
      </c>
      <c r="B747" s="6" t="s">
        <v>7</v>
      </c>
      <c r="C747" s="6">
        <v>129</v>
      </c>
      <c r="D747" s="13" t="s">
        <v>28</v>
      </c>
      <c r="E747" s="14">
        <v>45191</v>
      </c>
      <c r="F747" s="6">
        <v>93</v>
      </c>
      <c r="G747" s="24">
        <v>4.7</v>
      </c>
      <c r="H747">
        <f>IF(MONTH(Table13[[#This Row],[Date of Call]])&lt;6, YEAR(Table13[[#This Row],[Date of Call]]),YEAR(Table13[[#This Row],[Date of Call]])+1)</f>
        <v>2024</v>
      </c>
      <c r="I747" t="str">
        <f>TEXT(Table13[[#This Row],[Date of Call]],"dddd")</f>
        <v>Friday</v>
      </c>
      <c r="J7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47">
        <f>ROUND(Table13[[#This Row],[Satisfaction Rating]],0)</f>
        <v>5</v>
      </c>
    </row>
    <row r="748" spans="1:11" x14ac:dyDescent="0.3">
      <c r="A748" s="23" t="s">
        <v>789</v>
      </c>
      <c r="B748" s="6" t="s">
        <v>13</v>
      </c>
      <c r="C748" s="6">
        <v>120</v>
      </c>
      <c r="D748" s="13" t="s">
        <v>32</v>
      </c>
      <c r="E748" s="14">
        <v>45191</v>
      </c>
      <c r="F748" s="6">
        <v>38</v>
      </c>
      <c r="G748" s="24">
        <v>4.2</v>
      </c>
      <c r="H748">
        <f>IF(MONTH(Table13[[#This Row],[Date of Call]])&lt;6, YEAR(Table13[[#This Row],[Date of Call]]),YEAR(Table13[[#This Row],[Date of Call]])+1)</f>
        <v>2024</v>
      </c>
      <c r="I748" t="str">
        <f>TEXT(Table13[[#This Row],[Date of Call]],"dddd")</f>
        <v>Friday</v>
      </c>
      <c r="J7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48">
        <f>ROUND(Table13[[#This Row],[Satisfaction Rating]],0)</f>
        <v>4</v>
      </c>
    </row>
    <row r="749" spans="1:11" x14ac:dyDescent="0.3">
      <c r="A749" s="23" t="s">
        <v>790</v>
      </c>
      <c r="B749" s="6" t="s">
        <v>8</v>
      </c>
      <c r="C749" s="6">
        <v>108</v>
      </c>
      <c r="D749" s="13" t="s">
        <v>28</v>
      </c>
      <c r="E749" s="14">
        <v>45192</v>
      </c>
      <c r="F749" s="6">
        <v>66</v>
      </c>
      <c r="G749" s="24">
        <v>3.9</v>
      </c>
      <c r="H749">
        <f>IF(MONTH(Table13[[#This Row],[Date of Call]])&lt;6, YEAR(Table13[[#This Row],[Date of Call]]),YEAR(Table13[[#This Row],[Date of Call]])+1)</f>
        <v>2024</v>
      </c>
      <c r="I749" t="str">
        <f>TEXT(Table13[[#This Row],[Date of Call]],"dddd")</f>
        <v>Saturday</v>
      </c>
      <c r="J7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49">
        <f>ROUND(Table13[[#This Row],[Satisfaction Rating]],0)</f>
        <v>4</v>
      </c>
    </row>
    <row r="750" spans="1:11" x14ac:dyDescent="0.3">
      <c r="A750" s="23" t="s">
        <v>791</v>
      </c>
      <c r="B750" s="6" t="s">
        <v>10</v>
      </c>
      <c r="C750" s="6">
        <v>79</v>
      </c>
      <c r="D750" s="13" t="s">
        <v>32</v>
      </c>
      <c r="E750" s="14">
        <v>45192</v>
      </c>
      <c r="F750" s="6">
        <v>215</v>
      </c>
      <c r="G750" s="24">
        <v>4.5999999999999996</v>
      </c>
      <c r="H750">
        <f>IF(MONTH(Table13[[#This Row],[Date of Call]])&lt;6, YEAR(Table13[[#This Row],[Date of Call]]),YEAR(Table13[[#This Row],[Date of Call]])+1)</f>
        <v>2024</v>
      </c>
      <c r="I750" t="str">
        <f>TEXT(Table13[[#This Row],[Date of Call]],"dddd")</f>
        <v>Saturday</v>
      </c>
      <c r="J7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0">
        <f>ROUND(Table13[[#This Row],[Satisfaction Rating]],0)</f>
        <v>5</v>
      </c>
    </row>
    <row r="751" spans="1:11" x14ac:dyDescent="0.3">
      <c r="A751" s="23" t="s">
        <v>792</v>
      </c>
      <c r="B751" s="6" t="s">
        <v>10</v>
      </c>
      <c r="C751" s="6">
        <v>45</v>
      </c>
      <c r="D751" s="13" t="s">
        <v>28</v>
      </c>
      <c r="E751" s="14">
        <v>45192</v>
      </c>
      <c r="F751" s="6">
        <v>92</v>
      </c>
      <c r="G751" s="24">
        <v>4.3</v>
      </c>
      <c r="H751">
        <f>IF(MONTH(Table13[[#This Row],[Date of Call]])&lt;6, YEAR(Table13[[#This Row],[Date of Call]]),YEAR(Table13[[#This Row],[Date of Call]])+1)</f>
        <v>2024</v>
      </c>
      <c r="I751" t="str">
        <f>TEXT(Table13[[#This Row],[Date of Call]],"dddd")</f>
        <v>Saturday</v>
      </c>
      <c r="J7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51">
        <f>ROUND(Table13[[#This Row],[Satisfaction Rating]],0)</f>
        <v>4</v>
      </c>
    </row>
    <row r="752" spans="1:11" x14ac:dyDescent="0.3">
      <c r="A752" s="23" t="s">
        <v>793</v>
      </c>
      <c r="B752" s="6" t="s">
        <v>14</v>
      </c>
      <c r="C752" s="6">
        <v>96</v>
      </c>
      <c r="D752" s="13" t="s">
        <v>32</v>
      </c>
      <c r="E752" s="14">
        <v>45192</v>
      </c>
      <c r="F752" s="6">
        <v>80</v>
      </c>
      <c r="G752" s="24">
        <v>3.6</v>
      </c>
      <c r="H752">
        <f>IF(MONTH(Table13[[#This Row],[Date of Call]])&lt;6, YEAR(Table13[[#This Row],[Date of Call]]),YEAR(Table13[[#This Row],[Date of Call]])+1)</f>
        <v>2024</v>
      </c>
      <c r="I752" t="str">
        <f>TEXT(Table13[[#This Row],[Date of Call]],"dddd")</f>
        <v>Saturday</v>
      </c>
      <c r="J7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2">
        <f>ROUND(Table13[[#This Row],[Satisfaction Rating]],0)</f>
        <v>4</v>
      </c>
    </row>
    <row r="753" spans="1:11" x14ac:dyDescent="0.3">
      <c r="A753" s="23" t="s">
        <v>794</v>
      </c>
      <c r="B753" s="6" t="s">
        <v>14</v>
      </c>
      <c r="C753" s="6">
        <v>81</v>
      </c>
      <c r="D753" s="13" t="s">
        <v>32</v>
      </c>
      <c r="E753" s="14">
        <v>45193</v>
      </c>
      <c r="F753" s="6">
        <v>123</v>
      </c>
      <c r="G753" s="24">
        <v>4.9000000000000004</v>
      </c>
      <c r="H753">
        <f>IF(MONTH(Table13[[#This Row],[Date of Call]])&lt;6, YEAR(Table13[[#This Row],[Date of Call]]),YEAR(Table13[[#This Row],[Date of Call]])+1)</f>
        <v>2024</v>
      </c>
      <c r="I753" t="str">
        <f>TEXT(Table13[[#This Row],[Date of Call]],"dddd")</f>
        <v>Sunday</v>
      </c>
      <c r="J7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3">
        <f>ROUND(Table13[[#This Row],[Satisfaction Rating]],0)</f>
        <v>5</v>
      </c>
    </row>
    <row r="754" spans="1:11" x14ac:dyDescent="0.3">
      <c r="A754" s="23" t="s">
        <v>795</v>
      </c>
      <c r="B754" s="6" t="s">
        <v>15</v>
      </c>
      <c r="C754" s="6">
        <v>95</v>
      </c>
      <c r="D754" s="13" t="s">
        <v>31</v>
      </c>
      <c r="E754" s="14">
        <v>45193</v>
      </c>
      <c r="F754" s="6">
        <v>23</v>
      </c>
      <c r="G754" s="24">
        <v>2.4</v>
      </c>
      <c r="H754">
        <f>IF(MONTH(Table13[[#This Row],[Date of Call]])&lt;6, YEAR(Table13[[#This Row],[Date of Call]]),YEAR(Table13[[#This Row],[Date of Call]])+1)</f>
        <v>2024</v>
      </c>
      <c r="I754" t="str">
        <f>TEXT(Table13[[#This Row],[Date of Call]],"dddd")</f>
        <v>Sunday</v>
      </c>
      <c r="J7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4">
        <f>ROUND(Table13[[#This Row],[Satisfaction Rating]],0)</f>
        <v>2</v>
      </c>
    </row>
    <row r="755" spans="1:11" x14ac:dyDescent="0.3">
      <c r="A755" s="23" t="s">
        <v>796</v>
      </c>
      <c r="B755" s="6" t="s">
        <v>18</v>
      </c>
      <c r="C755" s="6">
        <v>159</v>
      </c>
      <c r="D755" s="13" t="s">
        <v>29</v>
      </c>
      <c r="E755" s="14">
        <v>45193</v>
      </c>
      <c r="F755" s="6">
        <v>63</v>
      </c>
      <c r="G755" s="24">
        <v>4.2</v>
      </c>
      <c r="H755">
        <f>IF(MONTH(Table13[[#This Row],[Date of Call]])&lt;6, YEAR(Table13[[#This Row],[Date of Call]]),YEAR(Table13[[#This Row],[Date of Call]])+1)</f>
        <v>2024</v>
      </c>
      <c r="I755" t="str">
        <f>TEXT(Table13[[#This Row],[Date of Call]],"dddd")</f>
        <v>Sunday</v>
      </c>
      <c r="J7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55">
        <f>ROUND(Table13[[#This Row],[Satisfaction Rating]],0)</f>
        <v>4</v>
      </c>
    </row>
    <row r="756" spans="1:11" x14ac:dyDescent="0.3">
      <c r="A756" s="23" t="s">
        <v>797</v>
      </c>
      <c r="B756" s="6" t="s">
        <v>11</v>
      </c>
      <c r="C756" s="6">
        <v>109</v>
      </c>
      <c r="D756" s="13" t="s">
        <v>30</v>
      </c>
      <c r="E756" s="14">
        <v>45193</v>
      </c>
      <c r="F756" s="6">
        <v>52</v>
      </c>
      <c r="G756" s="24">
        <v>3.9</v>
      </c>
      <c r="H756">
        <f>IF(MONTH(Table13[[#This Row],[Date of Call]])&lt;6, YEAR(Table13[[#This Row],[Date of Call]]),YEAR(Table13[[#This Row],[Date of Call]])+1)</f>
        <v>2024</v>
      </c>
      <c r="I756" t="str">
        <f>TEXT(Table13[[#This Row],[Date of Call]],"dddd")</f>
        <v>Sunday</v>
      </c>
      <c r="J7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6">
        <f>ROUND(Table13[[#This Row],[Satisfaction Rating]],0)</f>
        <v>4</v>
      </c>
    </row>
    <row r="757" spans="1:11" x14ac:dyDescent="0.3">
      <c r="A757" s="23" t="s">
        <v>798</v>
      </c>
      <c r="B757" s="6" t="s">
        <v>10</v>
      </c>
      <c r="C757" s="6">
        <v>107</v>
      </c>
      <c r="D757" s="13" t="s">
        <v>30</v>
      </c>
      <c r="E757" s="14">
        <v>45193</v>
      </c>
      <c r="F757" s="6">
        <v>60</v>
      </c>
      <c r="G757" s="24">
        <v>4.2</v>
      </c>
      <c r="H757">
        <f>IF(MONTH(Table13[[#This Row],[Date of Call]])&lt;6, YEAR(Table13[[#This Row],[Date of Call]]),YEAR(Table13[[#This Row],[Date of Call]])+1)</f>
        <v>2024</v>
      </c>
      <c r="I757" t="str">
        <f>TEXT(Table13[[#This Row],[Date of Call]],"dddd")</f>
        <v>Sunday</v>
      </c>
      <c r="J7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7">
        <f>ROUND(Table13[[#This Row],[Satisfaction Rating]],0)</f>
        <v>4</v>
      </c>
    </row>
    <row r="758" spans="1:11" x14ac:dyDescent="0.3">
      <c r="A758" s="23" t="s">
        <v>799</v>
      </c>
      <c r="B758" s="6" t="s">
        <v>14</v>
      </c>
      <c r="C758" s="6">
        <v>67</v>
      </c>
      <c r="D758" s="13" t="s">
        <v>28</v>
      </c>
      <c r="E758" s="14">
        <v>45194</v>
      </c>
      <c r="F758" s="6">
        <v>87</v>
      </c>
      <c r="G758" s="24">
        <v>3.9</v>
      </c>
      <c r="H758">
        <f>IF(MONTH(Table13[[#This Row],[Date of Call]])&lt;6, YEAR(Table13[[#This Row],[Date of Call]]),YEAR(Table13[[#This Row],[Date of Call]])+1)</f>
        <v>2024</v>
      </c>
      <c r="I758" t="str">
        <f>TEXT(Table13[[#This Row],[Date of Call]],"dddd")</f>
        <v>Monday</v>
      </c>
      <c r="J7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8">
        <f>ROUND(Table13[[#This Row],[Satisfaction Rating]],0)</f>
        <v>4</v>
      </c>
    </row>
    <row r="759" spans="1:11" x14ac:dyDescent="0.3">
      <c r="A759" s="23" t="s">
        <v>800</v>
      </c>
      <c r="B759" s="6" t="s">
        <v>5</v>
      </c>
      <c r="C759" s="6">
        <v>96</v>
      </c>
      <c r="D759" s="13" t="s">
        <v>32</v>
      </c>
      <c r="E759" s="14">
        <v>45195</v>
      </c>
      <c r="F759" s="6">
        <v>42</v>
      </c>
      <c r="G759" s="24">
        <v>4.5</v>
      </c>
      <c r="H759">
        <f>IF(MONTH(Table13[[#This Row],[Date of Call]])&lt;6, YEAR(Table13[[#This Row],[Date of Call]]),YEAR(Table13[[#This Row],[Date of Call]])+1)</f>
        <v>2024</v>
      </c>
      <c r="I759" t="str">
        <f>TEXT(Table13[[#This Row],[Date of Call]],"dddd")</f>
        <v>Tuesday</v>
      </c>
      <c r="J7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59">
        <f>ROUND(Table13[[#This Row],[Satisfaction Rating]],0)</f>
        <v>5</v>
      </c>
    </row>
    <row r="760" spans="1:11" x14ac:dyDescent="0.3">
      <c r="A760" s="23" t="s">
        <v>801</v>
      </c>
      <c r="B760" s="6" t="s">
        <v>9</v>
      </c>
      <c r="C760" s="6">
        <v>142</v>
      </c>
      <c r="D760" s="13" t="s">
        <v>29</v>
      </c>
      <c r="E760" s="14">
        <v>45196</v>
      </c>
      <c r="F760" s="6">
        <v>37</v>
      </c>
      <c r="G760" s="24">
        <v>3.8</v>
      </c>
      <c r="H760">
        <f>IF(MONTH(Table13[[#This Row],[Date of Call]])&lt;6, YEAR(Table13[[#This Row],[Date of Call]]),YEAR(Table13[[#This Row],[Date of Call]])+1)</f>
        <v>2024</v>
      </c>
      <c r="I760" t="str">
        <f>TEXT(Table13[[#This Row],[Date of Call]],"dddd")</f>
        <v>Wednesday</v>
      </c>
      <c r="J7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60">
        <f>ROUND(Table13[[#This Row],[Satisfaction Rating]],0)</f>
        <v>4</v>
      </c>
    </row>
    <row r="761" spans="1:11" x14ac:dyDescent="0.3">
      <c r="A761" s="23" t="s">
        <v>802</v>
      </c>
      <c r="B761" s="6" t="s">
        <v>9</v>
      </c>
      <c r="C761" s="6">
        <v>71</v>
      </c>
      <c r="D761" s="13" t="s">
        <v>31</v>
      </c>
      <c r="E761" s="14">
        <v>45196</v>
      </c>
      <c r="F761" s="6">
        <v>135</v>
      </c>
      <c r="G761" s="24">
        <v>3.9</v>
      </c>
      <c r="H761">
        <f>IF(MONTH(Table13[[#This Row],[Date of Call]])&lt;6, YEAR(Table13[[#This Row],[Date of Call]]),YEAR(Table13[[#This Row],[Date of Call]])+1)</f>
        <v>2024</v>
      </c>
      <c r="I761" t="str">
        <f>TEXT(Table13[[#This Row],[Date of Call]],"dddd")</f>
        <v>Wednesday</v>
      </c>
      <c r="J7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61">
        <f>ROUND(Table13[[#This Row],[Satisfaction Rating]],0)</f>
        <v>4</v>
      </c>
    </row>
    <row r="762" spans="1:11" x14ac:dyDescent="0.3">
      <c r="A762" s="23" t="s">
        <v>803</v>
      </c>
      <c r="B762" s="6" t="s">
        <v>5</v>
      </c>
      <c r="C762" s="6">
        <v>152</v>
      </c>
      <c r="D762" s="13" t="s">
        <v>31</v>
      </c>
      <c r="E762" s="14">
        <v>45196</v>
      </c>
      <c r="F762" s="6">
        <v>88</v>
      </c>
      <c r="G762" s="24">
        <v>4.7</v>
      </c>
      <c r="H762">
        <f>IF(MONTH(Table13[[#This Row],[Date of Call]])&lt;6, YEAR(Table13[[#This Row],[Date of Call]]),YEAR(Table13[[#This Row],[Date of Call]])+1)</f>
        <v>2024</v>
      </c>
      <c r="I762" t="str">
        <f>TEXT(Table13[[#This Row],[Date of Call]],"dddd")</f>
        <v>Wednesday</v>
      </c>
      <c r="J7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62">
        <f>ROUND(Table13[[#This Row],[Satisfaction Rating]],0)</f>
        <v>5</v>
      </c>
    </row>
    <row r="763" spans="1:11" x14ac:dyDescent="0.3">
      <c r="A763" s="23" t="s">
        <v>804</v>
      </c>
      <c r="B763" s="6" t="s">
        <v>4</v>
      </c>
      <c r="C763" s="6">
        <v>108</v>
      </c>
      <c r="D763" s="13" t="s">
        <v>29</v>
      </c>
      <c r="E763" s="14">
        <v>45196</v>
      </c>
      <c r="F763" s="6">
        <v>190</v>
      </c>
      <c r="G763" s="24">
        <v>3.2</v>
      </c>
      <c r="H763">
        <f>IF(MONTH(Table13[[#This Row],[Date of Call]])&lt;6, YEAR(Table13[[#This Row],[Date of Call]]),YEAR(Table13[[#This Row],[Date of Call]])+1)</f>
        <v>2024</v>
      </c>
      <c r="I763" t="str">
        <f>TEXT(Table13[[#This Row],[Date of Call]],"dddd")</f>
        <v>Wednesday</v>
      </c>
      <c r="J7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63">
        <f>ROUND(Table13[[#This Row],[Satisfaction Rating]],0)</f>
        <v>3</v>
      </c>
    </row>
    <row r="764" spans="1:11" x14ac:dyDescent="0.3">
      <c r="A764" s="23" t="s">
        <v>805</v>
      </c>
      <c r="B764" s="6" t="s">
        <v>4</v>
      </c>
      <c r="C764" s="6">
        <v>156</v>
      </c>
      <c r="D764" s="13" t="s">
        <v>31</v>
      </c>
      <c r="E764" s="14">
        <v>45196</v>
      </c>
      <c r="F764" s="6">
        <v>81</v>
      </c>
      <c r="G764" s="24">
        <v>5</v>
      </c>
      <c r="H764">
        <f>IF(MONTH(Table13[[#This Row],[Date of Call]])&lt;6, YEAR(Table13[[#This Row],[Date of Call]]),YEAR(Table13[[#This Row],[Date of Call]])+1)</f>
        <v>2024</v>
      </c>
      <c r="I764" t="str">
        <f>TEXT(Table13[[#This Row],[Date of Call]],"dddd")</f>
        <v>Wednesday</v>
      </c>
      <c r="J7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64">
        <f>ROUND(Table13[[#This Row],[Satisfaction Rating]],0)</f>
        <v>5</v>
      </c>
    </row>
    <row r="765" spans="1:11" x14ac:dyDescent="0.3">
      <c r="A765" s="23" t="s">
        <v>806</v>
      </c>
      <c r="B765" s="6" t="s">
        <v>9</v>
      </c>
      <c r="C765" s="6">
        <v>126</v>
      </c>
      <c r="D765" s="13" t="s">
        <v>29</v>
      </c>
      <c r="E765" s="14">
        <v>45196</v>
      </c>
      <c r="F765" s="6">
        <v>44</v>
      </c>
      <c r="G765" s="24">
        <v>3.7</v>
      </c>
      <c r="H765">
        <f>IF(MONTH(Table13[[#This Row],[Date of Call]])&lt;6, YEAR(Table13[[#This Row],[Date of Call]]),YEAR(Table13[[#This Row],[Date of Call]])+1)</f>
        <v>2024</v>
      </c>
      <c r="I765" t="str">
        <f>TEXT(Table13[[#This Row],[Date of Call]],"dddd")</f>
        <v>Wednesday</v>
      </c>
      <c r="J7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65">
        <f>ROUND(Table13[[#This Row],[Satisfaction Rating]],0)</f>
        <v>4</v>
      </c>
    </row>
    <row r="766" spans="1:11" x14ac:dyDescent="0.3">
      <c r="A766" s="23" t="s">
        <v>807</v>
      </c>
      <c r="B766" s="6" t="s">
        <v>8</v>
      </c>
      <c r="C766" s="6">
        <v>135</v>
      </c>
      <c r="D766" s="13" t="s">
        <v>31</v>
      </c>
      <c r="E766" s="14">
        <v>45197</v>
      </c>
      <c r="F766" s="6">
        <v>92</v>
      </c>
      <c r="G766" s="24">
        <v>3.9</v>
      </c>
      <c r="H766">
        <f>IF(MONTH(Table13[[#This Row],[Date of Call]])&lt;6, YEAR(Table13[[#This Row],[Date of Call]]),YEAR(Table13[[#This Row],[Date of Call]])+1)</f>
        <v>2024</v>
      </c>
      <c r="I766" t="str">
        <f>TEXT(Table13[[#This Row],[Date of Call]],"dddd")</f>
        <v>Thursday</v>
      </c>
      <c r="J7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66">
        <f>ROUND(Table13[[#This Row],[Satisfaction Rating]],0)</f>
        <v>4</v>
      </c>
    </row>
    <row r="767" spans="1:11" x14ac:dyDescent="0.3">
      <c r="A767" s="23" t="s">
        <v>808</v>
      </c>
      <c r="B767" s="6" t="s">
        <v>9</v>
      </c>
      <c r="C767" s="6">
        <v>110</v>
      </c>
      <c r="D767" s="13" t="s">
        <v>32</v>
      </c>
      <c r="E767" s="14">
        <v>45198</v>
      </c>
      <c r="F767" s="6">
        <v>90</v>
      </c>
      <c r="G767" s="24">
        <v>3.1</v>
      </c>
      <c r="H767">
        <f>IF(MONTH(Table13[[#This Row],[Date of Call]])&lt;6, YEAR(Table13[[#This Row],[Date of Call]]),YEAR(Table13[[#This Row],[Date of Call]])+1)</f>
        <v>2024</v>
      </c>
      <c r="I767" t="str">
        <f>TEXT(Table13[[#This Row],[Date of Call]],"dddd")</f>
        <v>Friday</v>
      </c>
      <c r="J7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67">
        <f>ROUND(Table13[[#This Row],[Satisfaction Rating]],0)</f>
        <v>3</v>
      </c>
    </row>
    <row r="768" spans="1:11" x14ac:dyDescent="0.3">
      <c r="A768" s="23" t="s">
        <v>809</v>
      </c>
      <c r="B768" s="6" t="s">
        <v>18</v>
      </c>
      <c r="C768" s="6">
        <v>64</v>
      </c>
      <c r="D768" s="13" t="s">
        <v>31</v>
      </c>
      <c r="E768" s="14">
        <v>45198</v>
      </c>
      <c r="F768" s="6">
        <v>112</v>
      </c>
      <c r="G768" s="24">
        <v>2</v>
      </c>
      <c r="H768">
        <f>IF(MONTH(Table13[[#This Row],[Date of Call]])&lt;6, YEAR(Table13[[#This Row],[Date of Call]]),YEAR(Table13[[#This Row],[Date of Call]])+1)</f>
        <v>2024</v>
      </c>
      <c r="I768" t="str">
        <f>TEXT(Table13[[#This Row],[Date of Call]],"dddd")</f>
        <v>Friday</v>
      </c>
      <c r="J7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68">
        <f>ROUND(Table13[[#This Row],[Satisfaction Rating]],0)</f>
        <v>2</v>
      </c>
    </row>
    <row r="769" spans="1:11" x14ac:dyDescent="0.3">
      <c r="A769" s="23" t="s">
        <v>810</v>
      </c>
      <c r="B769" s="6" t="s">
        <v>12</v>
      </c>
      <c r="C769" s="6">
        <v>127</v>
      </c>
      <c r="D769" s="13" t="s">
        <v>29</v>
      </c>
      <c r="E769" s="14">
        <v>45198</v>
      </c>
      <c r="F769" s="6">
        <v>112</v>
      </c>
      <c r="G769" s="24">
        <v>4.5999999999999996</v>
      </c>
      <c r="H769">
        <f>IF(MONTH(Table13[[#This Row],[Date of Call]])&lt;6, YEAR(Table13[[#This Row],[Date of Call]]),YEAR(Table13[[#This Row],[Date of Call]])+1)</f>
        <v>2024</v>
      </c>
      <c r="I769" t="str">
        <f>TEXT(Table13[[#This Row],[Date of Call]],"dddd")</f>
        <v>Friday</v>
      </c>
      <c r="J7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69">
        <f>ROUND(Table13[[#This Row],[Satisfaction Rating]],0)</f>
        <v>5</v>
      </c>
    </row>
    <row r="770" spans="1:11" x14ac:dyDescent="0.3">
      <c r="A770" s="23" t="s">
        <v>811</v>
      </c>
      <c r="B770" s="6" t="s">
        <v>11</v>
      </c>
      <c r="C770" s="6">
        <v>124</v>
      </c>
      <c r="D770" s="13" t="s">
        <v>28</v>
      </c>
      <c r="E770" s="14">
        <v>45198</v>
      </c>
      <c r="F770" s="6">
        <v>48</v>
      </c>
      <c r="G770" s="24">
        <v>3.7</v>
      </c>
      <c r="H770">
        <f>IF(MONTH(Table13[[#This Row],[Date of Call]])&lt;6, YEAR(Table13[[#This Row],[Date of Call]]),YEAR(Table13[[#This Row],[Date of Call]])+1)</f>
        <v>2024</v>
      </c>
      <c r="I770" t="str">
        <f>TEXT(Table13[[#This Row],[Date of Call]],"dddd")</f>
        <v>Friday</v>
      </c>
      <c r="J7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70">
        <f>ROUND(Table13[[#This Row],[Satisfaction Rating]],0)</f>
        <v>4</v>
      </c>
    </row>
    <row r="771" spans="1:11" x14ac:dyDescent="0.3">
      <c r="A771" s="23" t="s">
        <v>812</v>
      </c>
      <c r="B771" s="6" t="s">
        <v>18</v>
      </c>
      <c r="C771" s="6">
        <v>125</v>
      </c>
      <c r="D771" s="13" t="s">
        <v>29</v>
      </c>
      <c r="E771" s="14">
        <v>45198</v>
      </c>
      <c r="F771" s="6">
        <v>116</v>
      </c>
      <c r="G771" s="24">
        <v>4.4000000000000004</v>
      </c>
      <c r="H771">
        <f>IF(MONTH(Table13[[#This Row],[Date of Call]])&lt;6, YEAR(Table13[[#This Row],[Date of Call]]),YEAR(Table13[[#This Row],[Date of Call]])+1)</f>
        <v>2024</v>
      </c>
      <c r="I771" t="str">
        <f>TEXT(Table13[[#This Row],[Date of Call]],"dddd")</f>
        <v>Friday</v>
      </c>
      <c r="J7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71">
        <f>ROUND(Table13[[#This Row],[Satisfaction Rating]],0)</f>
        <v>4</v>
      </c>
    </row>
    <row r="772" spans="1:11" x14ac:dyDescent="0.3">
      <c r="A772" s="23" t="s">
        <v>813</v>
      </c>
      <c r="B772" s="6" t="s">
        <v>7</v>
      </c>
      <c r="C772" s="6">
        <v>70</v>
      </c>
      <c r="D772" s="13" t="s">
        <v>29</v>
      </c>
      <c r="E772" s="14">
        <v>45198</v>
      </c>
      <c r="F772" s="6">
        <v>29</v>
      </c>
      <c r="G772" s="24">
        <v>2.1</v>
      </c>
      <c r="H772">
        <f>IF(MONTH(Table13[[#This Row],[Date of Call]])&lt;6, YEAR(Table13[[#This Row],[Date of Call]]),YEAR(Table13[[#This Row],[Date of Call]])+1)</f>
        <v>2024</v>
      </c>
      <c r="I772" t="str">
        <f>TEXT(Table13[[#This Row],[Date of Call]],"dddd")</f>
        <v>Friday</v>
      </c>
      <c r="J7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2">
        <f>ROUND(Table13[[#This Row],[Satisfaction Rating]],0)</f>
        <v>2</v>
      </c>
    </row>
    <row r="773" spans="1:11" x14ac:dyDescent="0.3">
      <c r="A773" s="23" t="s">
        <v>814</v>
      </c>
      <c r="B773" s="6" t="s">
        <v>12</v>
      </c>
      <c r="C773" s="6">
        <v>93</v>
      </c>
      <c r="D773" s="13" t="s">
        <v>31</v>
      </c>
      <c r="E773" s="14">
        <v>45199</v>
      </c>
      <c r="F773" s="6">
        <v>170</v>
      </c>
      <c r="G773" s="24">
        <v>2.2000000000000002</v>
      </c>
      <c r="H773">
        <f>IF(MONTH(Table13[[#This Row],[Date of Call]])&lt;6, YEAR(Table13[[#This Row],[Date of Call]]),YEAR(Table13[[#This Row],[Date of Call]])+1)</f>
        <v>2024</v>
      </c>
      <c r="I773" t="str">
        <f>TEXT(Table13[[#This Row],[Date of Call]],"dddd")</f>
        <v>Saturday</v>
      </c>
      <c r="J7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3">
        <f>ROUND(Table13[[#This Row],[Satisfaction Rating]],0)</f>
        <v>2</v>
      </c>
    </row>
    <row r="774" spans="1:11" x14ac:dyDescent="0.3">
      <c r="A774" s="23" t="s">
        <v>815</v>
      </c>
      <c r="B774" s="6" t="s">
        <v>7</v>
      </c>
      <c r="C774" s="6">
        <v>120</v>
      </c>
      <c r="D774" s="13" t="s">
        <v>30</v>
      </c>
      <c r="E774" s="14">
        <v>45199</v>
      </c>
      <c r="F774" s="6">
        <v>68</v>
      </c>
      <c r="G774" s="24">
        <v>3.4</v>
      </c>
      <c r="H774">
        <f>IF(MONTH(Table13[[#This Row],[Date of Call]])&lt;6, YEAR(Table13[[#This Row],[Date of Call]]),YEAR(Table13[[#This Row],[Date of Call]])+1)</f>
        <v>2024</v>
      </c>
      <c r="I774" t="str">
        <f>TEXT(Table13[[#This Row],[Date of Call]],"dddd")</f>
        <v>Saturday</v>
      </c>
      <c r="J7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74">
        <f>ROUND(Table13[[#This Row],[Satisfaction Rating]],0)</f>
        <v>3</v>
      </c>
    </row>
    <row r="775" spans="1:11" x14ac:dyDescent="0.3">
      <c r="A775" s="23" t="s">
        <v>816</v>
      </c>
      <c r="B775" s="6" t="s">
        <v>14</v>
      </c>
      <c r="C775" s="6">
        <v>96</v>
      </c>
      <c r="D775" s="13" t="s">
        <v>32</v>
      </c>
      <c r="E775" s="14">
        <v>45199</v>
      </c>
      <c r="F775" s="6">
        <v>195</v>
      </c>
      <c r="G775" s="24">
        <v>2.7</v>
      </c>
      <c r="H775">
        <f>IF(MONTH(Table13[[#This Row],[Date of Call]])&lt;6, YEAR(Table13[[#This Row],[Date of Call]]),YEAR(Table13[[#This Row],[Date of Call]])+1)</f>
        <v>2024</v>
      </c>
      <c r="I775" t="str">
        <f>TEXT(Table13[[#This Row],[Date of Call]],"dddd")</f>
        <v>Saturday</v>
      </c>
      <c r="J7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5">
        <f>ROUND(Table13[[#This Row],[Satisfaction Rating]],0)</f>
        <v>3</v>
      </c>
    </row>
    <row r="776" spans="1:11" x14ac:dyDescent="0.3">
      <c r="A776" s="23" t="s">
        <v>817</v>
      </c>
      <c r="B776" s="6" t="s">
        <v>17</v>
      </c>
      <c r="C776" s="6">
        <v>67</v>
      </c>
      <c r="D776" s="13" t="s">
        <v>32</v>
      </c>
      <c r="E776" s="14">
        <v>45199</v>
      </c>
      <c r="F776" s="6">
        <v>96</v>
      </c>
      <c r="G776" s="24">
        <v>3.7</v>
      </c>
      <c r="H776">
        <f>IF(MONTH(Table13[[#This Row],[Date of Call]])&lt;6, YEAR(Table13[[#This Row],[Date of Call]]),YEAR(Table13[[#This Row],[Date of Call]])+1)</f>
        <v>2024</v>
      </c>
      <c r="I776" t="str">
        <f>TEXT(Table13[[#This Row],[Date of Call]],"dddd")</f>
        <v>Saturday</v>
      </c>
      <c r="J7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6">
        <f>ROUND(Table13[[#This Row],[Satisfaction Rating]],0)</f>
        <v>4</v>
      </c>
    </row>
    <row r="777" spans="1:11" x14ac:dyDescent="0.3">
      <c r="A777" s="23" t="s">
        <v>818</v>
      </c>
      <c r="B777" s="6" t="s">
        <v>18</v>
      </c>
      <c r="C777" s="6">
        <v>119</v>
      </c>
      <c r="D777" s="13" t="s">
        <v>32</v>
      </c>
      <c r="E777" s="14">
        <v>45199</v>
      </c>
      <c r="F777" s="6">
        <v>96</v>
      </c>
      <c r="G777" s="24">
        <v>3.1</v>
      </c>
      <c r="H777">
        <f>IF(MONTH(Table13[[#This Row],[Date of Call]])&lt;6, YEAR(Table13[[#This Row],[Date of Call]]),YEAR(Table13[[#This Row],[Date of Call]])+1)</f>
        <v>2024</v>
      </c>
      <c r="I777" t="str">
        <f>TEXT(Table13[[#This Row],[Date of Call]],"dddd")</f>
        <v>Saturday</v>
      </c>
      <c r="J7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7">
        <f>ROUND(Table13[[#This Row],[Satisfaction Rating]],0)</f>
        <v>3</v>
      </c>
    </row>
    <row r="778" spans="1:11" x14ac:dyDescent="0.3">
      <c r="A778" s="23" t="s">
        <v>819</v>
      </c>
      <c r="B778" s="6" t="s">
        <v>11</v>
      </c>
      <c r="C778" s="6">
        <v>61</v>
      </c>
      <c r="D778" s="13" t="s">
        <v>28</v>
      </c>
      <c r="E778" s="14">
        <v>45199</v>
      </c>
      <c r="F778" s="6">
        <v>117</v>
      </c>
      <c r="G778" s="24">
        <v>4.0999999999999996</v>
      </c>
      <c r="H778">
        <f>IF(MONTH(Table13[[#This Row],[Date of Call]])&lt;6, YEAR(Table13[[#This Row],[Date of Call]]),YEAR(Table13[[#This Row],[Date of Call]])+1)</f>
        <v>2024</v>
      </c>
      <c r="I778" t="str">
        <f>TEXT(Table13[[#This Row],[Date of Call]],"dddd")</f>
        <v>Saturday</v>
      </c>
      <c r="J7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78">
        <f>ROUND(Table13[[#This Row],[Satisfaction Rating]],0)</f>
        <v>4</v>
      </c>
    </row>
    <row r="779" spans="1:11" x14ac:dyDescent="0.3">
      <c r="A779" s="23" t="s">
        <v>820</v>
      </c>
      <c r="B779" s="6" t="s">
        <v>14</v>
      </c>
      <c r="C779" s="6">
        <v>29</v>
      </c>
      <c r="D779" s="13" t="s">
        <v>31</v>
      </c>
      <c r="E779" s="14">
        <v>45199</v>
      </c>
      <c r="F779" s="6">
        <v>80</v>
      </c>
      <c r="G779" s="24">
        <v>4.8</v>
      </c>
      <c r="H779">
        <f>IF(MONTH(Table13[[#This Row],[Date of Call]])&lt;6, YEAR(Table13[[#This Row],[Date of Call]]),YEAR(Table13[[#This Row],[Date of Call]])+1)</f>
        <v>2024</v>
      </c>
      <c r="I779" t="str">
        <f>TEXT(Table13[[#This Row],[Date of Call]],"dddd")</f>
        <v>Saturday</v>
      </c>
      <c r="J7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779">
        <f>ROUND(Table13[[#This Row],[Satisfaction Rating]],0)</f>
        <v>5</v>
      </c>
    </row>
    <row r="780" spans="1:11" x14ac:dyDescent="0.3">
      <c r="A780" s="23" t="s">
        <v>821</v>
      </c>
      <c r="B780" s="6" t="s">
        <v>5</v>
      </c>
      <c r="C780" s="6">
        <v>134</v>
      </c>
      <c r="D780" s="13" t="s">
        <v>30</v>
      </c>
      <c r="E780" s="14">
        <v>45199</v>
      </c>
      <c r="F780" s="6">
        <v>117</v>
      </c>
      <c r="G780" s="24">
        <v>4</v>
      </c>
      <c r="H780">
        <f>IF(MONTH(Table13[[#This Row],[Date of Call]])&lt;6, YEAR(Table13[[#This Row],[Date of Call]]),YEAR(Table13[[#This Row],[Date of Call]])+1)</f>
        <v>2024</v>
      </c>
      <c r="I780" t="str">
        <f>TEXT(Table13[[#This Row],[Date of Call]],"dddd")</f>
        <v>Saturday</v>
      </c>
      <c r="J7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80">
        <f>ROUND(Table13[[#This Row],[Satisfaction Rating]],0)</f>
        <v>4</v>
      </c>
    </row>
    <row r="781" spans="1:11" x14ac:dyDescent="0.3">
      <c r="A781" s="23" t="s">
        <v>822</v>
      </c>
      <c r="B781" s="6" t="s">
        <v>9</v>
      </c>
      <c r="C781" s="6">
        <v>113</v>
      </c>
      <c r="D781" s="13" t="s">
        <v>32</v>
      </c>
      <c r="E781" s="14">
        <v>45200</v>
      </c>
      <c r="F781" s="6">
        <v>40</v>
      </c>
      <c r="G781" s="24">
        <v>3</v>
      </c>
      <c r="H781">
        <f>IF(MONTH(Table13[[#This Row],[Date of Call]])&lt;6, YEAR(Table13[[#This Row],[Date of Call]]),YEAR(Table13[[#This Row],[Date of Call]])+1)</f>
        <v>2024</v>
      </c>
      <c r="I781" t="str">
        <f>TEXT(Table13[[#This Row],[Date of Call]],"dddd")</f>
        <v>Sunday</v>
      </c>
      <c r="J7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81">
        <f>ROUND(Table13[[#This Row],[Satisfaction Rating]],0)</f>
        <v>3</v>
      </c>
    </row>
    <row r="782" spans="1:11" x14ac:dyDescent="0.3">
      <c r="A782" s="23" t="s">
        <v>823</v>
      </c>
      <c r="B782" s="6" t="s">
        <v>4</v>
      </c>
      <c r="C782" s="6">
        <v>12</v>
      </c>
      <c r="D782" s="13" t="s">
        <v>30</v>
      </c>
      <c r="E782" s="14">
        <v>45200</v>
      </c>
      <c r="F782" s="6">
        <v>117</v>
      </c>
      <c r="G782" s="24">
        <v>4.8</v>
      </c>
      <c r="H782">
        <f>IF(MONTH(Table13[[#This Row],[Date of Call]])&lt;6, YEAR(Table13[[#This Row],[Date of Call]]),YEAR(Table13[[#This Row],[Date of Call]])+1)</f>
        <v>2024</v>
      </c>
      <c r="I782" t="str">
        <f>TEXT(Table13[[#This Row],[Date of Call]],"dddd")</f>
        <v>Sunday</v>
      </c>
      <c r="J7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782">
        <f>ROUND(Table13[[#This Row],[Satisfaction Rating]],0)</f>
        <v>5</v>
      </c>
    </row>
    <row r="783" spans="1:11" x14ac:dyDescent="0.3">
      <c r="A783" s="23" t="s">
        <v>824</v>
      </c>
      <c r="B783" s="6" t="s">
        <v>16</v>
      </c>
      <c r="C783" s="6">
        <v>78</v>
      </c>
      <c r="D783" s="13" t="s">
        <v>31</v>
      </c>
      <c r="E783" s="14">
        <v>45200</v>
      </c>
      <c r="F783" s="6">
        <v>135</v>
      </c>
      <c r="G783" s="24">
        <v>4.0999999999999996</v>
      </c>
      <c r="H783">
        <f>IF(MONTH(Table13[[#This Row],[Date of Call]])&lt;6, YEAR(Table13[[#This Row],[Date of Call]]),YEAR(Table13[[#This Row],[Date of Call]])+1)</f>
        <v>2024</v>
      </c>
      <c r="I783" t="str">
        <f>TEXT(Table13[[#This Row],[Date of Call]],"dddd")</f>
        <v>Sunday</v>
      </c>
      <c r="J7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83">
        <f>ROUND(Table13[[#This Row],[Satisfaction Rating]],0)</f>
        <v>4</v>
      </c>
    </row>
    <row r="784" spans="1:11" x14ac:dyDescent="0.3">
      <c r="A784" s="23" t="s">
        <v>825</v>
      </c>
      <c r="B784" s="6" t="s">
        <v>18</v>
      </c>
      <c r="C784" s="6">
        <v>82</v>
      </c>
      <c r="D784" s="13" t="s">
        <v>29</v>
      </c>
      <c r="E784" s="14">
        <v>45200</v>
      </c>
      <c r="F784" s="6">
        <v>99</v>
      </c>
      <c r="G784" s="24">
        <v>4.2</v>
      </c>
      <c r="H784">
        <f>IF(MONTH(Table13[[#This Row],[Date of Call]])&lt;6, YEAR(Table13[[#This Row],[Date of Call]]),YEAR(Table13[[#This Row],[Date of Call]])+1)</f>
        <v>2024</v>
      </c>
      <c r="I784" t="str">
        <f>TEXT(Table13[[#This Row],[Date of Call]],"dddd")</f>
        <v>Sunday</v>
      </c>
      <c r="J7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84">
        <f>ROUND(Table13[[#This Row],[Satisfaction Rating]],0)</f>
        <v>4</v>
      </c>
    </row>
    <row r="785" spans="1:11" x14ac:dyDescent="0.3">
      <c r="A785" s="23" t="s">
        <v>826</v>
      </c>
      <c r="B785" s="6" t="s">
        <v>13</v>
      </c>
      <c r="C785" s="6">
        <v>149</v>
      </c>
      <c r="D785" s="13" t="s">
        <v>28</v>
      </c>
      <c r="E785" s="14">
        <v>45200</v>
      </c>
      <c r="F785" s="6">
        <v>130</v>
      </c>
      <c r="G785" s="24">
        <v>3.3</v>
      </c>
      <c r="H785">
        <f>IF(MONTH(Table13[[#This Row],[Date of Call]])&lt;6, YEAR(Table13[[#This Row],[Date of Call]]),YEAR(Table13[[#This Row],[Date of Call]])+1)</f>
        <v>2024</v>
      </c>
      <c r="I785" t="str">
        <f>TEXT(Table13[[#This Row],[Date of Call]],"dddd")</f>
        <v>Sunday</v>
      </c>
      <c r="J7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85">
        <f>ROUND(Table13[[#This Row],[Satisfaction Rating]],0)</f>
        <v>3</v>
      </c>
    </row>
    <row r="786" spans="1:11" x14ac:dyDescent="0.3">
      <c r="A786" s="23" t="s">
        <v>827</v>
      </c>
      <c r="B786" s="6" t="s">
        <v>10</v>
      </c>
      <c r="C786" s="6">
        <v>56</v>
      </c>
      <c r="D786" s="13" t="s">
        <v>30</v>
      </c>
      <c r="E786" s="14">
        <v>45200</v>
      </c>
      <c r="F786" s="6">
        <v>96</v>
      </c>
      <c r="G786" s="24">
        <v>4.7</v>
      </c>
      <c r="H786">
        <f>IF(MONTH(Table13[[#This Row],[Date of Call]])&lt;6, YEAR(Table13[[#This Row],[Date of Call]]),YEAR(Table13[[#This Row],[Date of Call]])+1)</f>
        <v>2024</v>
      </c>
      <c r="I786" t="str">
        <f>TEXT(Table13[[#This Row],[Date of Call]],"dddd")</f>
        <v>Sunday</v>
      </c>
      <c r="J7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86">
        <f>ROUND(Table13[[#This Row],[Satisfaction Rating]],0)</f>
        <v>5</v>
      </c>
    </row>
    <row r="787" spans="1:11" x14ac:dyDescent="0.3">
      <c r="A787" s="23" t="s">
        <v>828</v>
      </c>
      <c r="B787" s="6" t="s">
        <v>14</v>
      </c>
      <c r="C787" s="6">
        <v>80</v>
      </c>
      <c r="D787" s="13" t="s">
        <v>28</v>
      </c>
      <c r="E787" s="14">
        <v>45200</v>
      </c>
      <c r="F787" s="6">
        <v>128</v>
      </c>
      <c r="G787" s="24">
        <v>3.7</v>
      </c>
      <c r="H787">
        <f>IF(MONTH(Table13[[#This Row],[Date of Call]])&lt;6, YEAR(Table13[[#This Row],[Date of Call]]),YEAR(Table13[[#This Row],[Date of Call]])+1)</f>
        <v>2024</v>
      </c>
      <c r="I787" t="str">
        <f>TEXT(Table13[[#This Row],[Date of Call]],"dddd")</f>
        <v>Sunday</v>
      </c>
      <c r="J7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87">
        <f>ROUND(Table13[[#This Row],[Satisfaction Rating]],0)</f>
        <v>4</v>
      </c>
    </row>
    <row r="788" spans="1:11" x14ac:dyDescent="0.3">
      <c r="A788" s="23" t="s">
        <v>829</v>
      </c>
      <c r="B788" s="6" t="s">
        <v>11</v>
      </c>
      <c r="C788" s="6">
        <v>131</v>
      </c>
      <c r="D788" s="13" t="s">
        <v>32</v>
      </c>
      <c r="E788" s="14">
        <v>45200</v>
      </c>
      <c r="F788" s="6">
        <v>69</v>
      </c>
      <c r="G788" s="24">
        <v>4.7</v>
      </c>
      <c r="H788">
        <f>IF(MONTH(Table13[[#This Row],[Date of Call]])&lt;6, YEAR(Table13[[#This Row],[Date of Call]]),YEAR(Table13[[#This Row],[Date of Call]])+1)</f>
        <v>2024</v>
      </c>
      <c r="I788" t="str">
        <f>TEXT(Table13[[#This Row],[Date of Call]],"dddd")</f>
        <v>Sunday</v>
      </c>
      <c r="J7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88">
        <f>ROUND(Table13[[#This Row],[Satisfaction Rating]],0)</f>
        <v>5</v>
      </c>
    </row>
    <row r="789" spans="1:11" x14ac:dyDescent="0.3">
      <c r="A789" s="23" t="s">
        <v>830</v>
      </c>
      <c r="B789" s="6" t="s">
        <v>11</v>
      </c>
      <c r="C789" s="6">
        <v>109</v>
      </c>
      <c r="D789" s="13" t="s">
        <v>32</v>
      </c>
      <c r="E789" s="14">
        <v>45200</v>
      </c>
      <c r="F789" s="6">
        <v>44</v>
      </c>
      <c r="G789" s="24">
        <v>4.5999999999999996</v>
      </c>
      <c r="H789">
        <f>IF(MONTH(Table13[[#This Row],[Date of Call]])&lt;6, YEAR(Table13[[#This Row],[Date of Call]]),YEAR(Table13[[#This Row],[Date of Call]])+1)</f>
        <v>2024</v>
      </c>
      <c r="I789" t="str">
        <f>TEXT(Table13[[#This Row],[Date of Call]],"dddd")</f>
        <v>Sunday</v>
      </c>
      <c r="J7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89">
        <f>ROUND(Table13[[#This Row],[Satisfaction Rating]],0)</f>
        <v>5</v>
      </c>
    </row>
    <row r="790" spans="1:11" x14ac:dyDescent="0.3">
      <c r="A790" s="23" t="s">
        <v>831</v>
      </c>
      <c r="B790" s="6" t="s">
        <v>10</v>
      </c>
      <c r="C790" s="6">
        <v>142</v>
      </c>
      <c r="D790" s="13" t="s">
        <v>32</v>
      </c>
      <c r="E790" s="14">
        <v>45200</v>
      </c>
      <c r="F790" s="6">
        <v>44</v>
      </c>
      <c r="G790" s="24">
        <v>4.8</v>
      </c>
      <c r="H790">
        <f>IF(MONTH(Table13[[#This Row],[Date of Call]])&lt;6, YEAR(Table13[[#This Row],[Date of Call]]),YEAR(Table13[[#This Row],[Date of Call]])+1)</f>
        <v>2024</v>
      </c>
      <c r="I790" t="str">
        <f>TEXT(Table13[[#This Row],[Date of Call]],"dddd")</f>
        <v>Sunday</v>
      </c>
      <c r="J7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790">
        <f>ROUND(Table13[[#This Row],[Satisfaction Rating]],0)</f>
        <v>5</v>
      </c>
    </row>
    <row r="791" spans="1:11" x14ac:dyDescent="0.3">
      <c r="A791" s="23" t="s">
        <v>832</v>
      </c>
      <c r="B791" s="6" t="s">
        <v>12</v>
      </c>
      <c r="C791" s="6">
        <v>114</v>
      </c>
      <c r="D791" s="13" t="s">
        <v>30</v>
      </c>
      <c r="E791" s="14">
        <v>45201</v>
      </c>
      <c r="F791" s="6">
        <v>135</v>
      </c>
      <c r="G791" s="24">
        <v>2</v>
      </c>
      <c r="H791">
        <f>IF(MONTH(Table13[[#This Row],[Date of Call]])&lt;6, YEAR(Table13[[#This Row],[Date of Call]]),YEAR(Table13[[#This Row],[Date of Call]])+1)</f>
        <v>2024</v>
      </c>
      <c r="I791" t="str">
        <f>TEXT(Table13[[#This Row],[Date of Call]],"dddd")</f>
        <v>Monday</v>
      </c>
      <c r="J7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1">
        <f>ROUND(Table13[[#This Row],[Satisfaction Rating]],0)</f>
        <v>2</v>
      </c>
    </row>
    <row r="792" spans="1:11" x14ac:dyDescent="0.3">
      <c r="A792" s="23" t="s">
        <v>833</v>
      </c>
      <c r="B792" s="6" t="s">
        <v>17</v>
      </c>
      <c r="C792" s="6">
        <v>93</v>
      </c>
      <c r="D792" s="13" t="s">
        <v>28</v>
      </c>
      <c r="E792" s="14">
        <v>45201</v>
      </c>
      <c r="F792" s="6">
        <v>45</v>
      </c>
      <c r="G792" s="24">
        <v>3.9</v>
      </c>
      <c r="H792">
        <f>IF(MONTH(Table13[[#This Row],[Date of Call]])&lt;6, YEAR(Table13[[#This Row],[Date of Call]]),YEAR(Table13[[#This Row],[Date of Call]])+1)</f>
        <v>2024</v>
      </c>
      <c r="I792" t="str">
        <f>TEXT(Table13[[#This Row],[Date of Call]],"dddd")</f>
        <v>Monday</v>
      </c>
      <c r="J7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2">
        <f>ROUND(Table13[[#This Row],[Satisfaction Rating]],0)</f>
        <v>4</v>
      </c>
    </row>
    <row r="793" spans="1:11" x14ac:dyDescent="0.3">
      <c r="A793" s="23" t="s">
        <v>834</v>
      </c>
      <c r="B793" s="6" t="s">
        <v>4</v>
      </c>
      <c r="C793" s="6">
        <v>43</v>
      </c>
      <c r="D793" s="13" t="s">
        <v>28</v>
      </c>
      <c r="E793" s="14">
        <v>45201</v>
      </c>
      <c r="F793" s="6">
        <v>87</v>
      </c>
      <c r="G793" s="24">
        <v>3</v>
      </c>
      <c r="H793">
        <f>IF(MONTH(Table13[[#This Row],[Date of Call]])&lt;6, YEAR(Table13[[#This Row],[Date of Call]]),YEAR(Table13[[#This Row],[Date of Call]])+1)</f>
        <v>2024</v>
      </c>
      <c r="I793" t="str">
        <f>TEXT(Table13[[#This Row],[Date of Call]],"dddd")</f>
        <v>Monday</v>
      </c>
      <c r="J7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93">
        <f>ROUND(Table13[[#This Row],[Satisfaction Rating]],0)</f>
        <v>3</v>
      </c>
    </row>
    <row r="794" spans="1:11" x14ac:dyDescent="0.3">
      <c r="A794" s="23" t="s">
        <v>835</v>
      </c>
      <c r="B794" s="6" t="s">
        <v>5</v>
      </c>
      <c r="C794" s="6">
        <v>78</v>
      </c>
      <c r="D794" s="13" t="s">
        <v>31</v>
      </c>
      <c r="E794" s="14">
        <v>45202</v>
      </c>
      <c r="F794" s="6">
        <v>84</v>
      </c>
      <c r="G794" s="24">
        <v>4.5999999999999996</v>
      </c>
      <c r="H794">
        <f>IF(MONTH(Table13[[#This Row],[Date of Call]])&lt;6, YEAR(Table13[[#This Row],[Date of Call]]),YEAR(Table13[[#This Row],[Date of Call]])+1)</f>
        <v>2024</v>
      </c>
      <c r="I794" t="str">
        <f>TEXT(Table13[[#This Row],[Date of Call]],"dddd")</f>
        <v>Tuesday</v>
      </c>
      <c r="J7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4">
        <f>ROUND(Table13[[#This Row],[Satisfaction Rating]],0)</f>
        <v>5</v>
      </c>
    </row>
    <row r="795" spans="1:11" x14ac:dyDescent="0.3">
      <c r="A795" s="23" t="s">
        <v>836</v>
      </c>
      <c r="B795" s="6" t="s">
        <v>12</v>
      </c>
      <c r="C795" s="6">
        <v>89</v>
      </c>
      <c r="D795" s="13" t="s">
        <v>32</v>
      </c>
      <c r="E795" s="14">
        <v>45202</v>
      </c>
      <c r="F795" s="6">
        <v>81</v>
      </c>
      <c r="G795" s="24">
        <v>3.8</v>
      </c>
      <c r="H795">
        <f>IF(MONTH(Table13[[#This Row],[Date of Call]])&lt;6, YEAR(Table13[[#This Row],[Date of Call]]),YEAR(Table13[[#This Row],[Date of Call]])+1)</f>
        <v>2024</v>
      </c>
      <c r="I795" t="str">
        <f>TEXT(Table13[[#This Row],[Date of Call]],"dddd")</f>
        <v>Tuesday</v>
      </c>
      <c r="J7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5">
        <f>ROUND(Table13[[#This Row],[Satisfaction Rating]],0)</f>
        <v>4</v>
      </c>
    </row>
    <row r="796" spans="1:11" x14ac:dyDescent="0.3">
      <c r="A796" s="23" t="s">
        <v>837</v>
      </c>
      <c r="B796" s="6" t="s">
        <v>10</v>
      </c>
      <c r="C796" s="6">
        <v>82</v>
      </c>
      <c r="D796" s="13" t="s">
        <v>29</v>
      </c>
      <c r="E796" s="14">
        <v>45202</v>
      </c>
      <c r="F796" s="6">
        <v>130</v>
      </c>
      <c r="G796" s="24">
        <v>4.4000000000000004</v>
      </c>
      <c r="H796">
        <f>IF(MONTH(Table13[[#This Row],[Date of Call]])&lt;6, YEAR(Table13[[#This Row],[Date of Call]]),YEAR(Table13[[#This Row],[Date of Call]])+1)</f>
        <v>2024</v>
      </c>
      <c r="I796" t="str">
        <f>TEXT(Table13[[#This Row],[Date of Call]],"dddd")</f>
        <v>Tuesday</v>
      </c>
      <c r="J7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6">
        <f>ROUND(Table13[[#This Row],[Satisfaction Rating]],0)</f>
        <v>4</v>
      </c>
    </row>
    <row r="797" spans="1:11" x14ac:dyDescent="0.3">
      <c r="A797" s="23" t="s">
        <v>838</v>
      </c>
      <c r="B797" s="6" t="s">
        <v>14</v>
      </c>
      <c r="C797" s="6">
        <v>86</v>
      </c>
      <c r="D797" s="13" t="s">
        <v>32</v>
      </c>
      <c r="E797" s="14">
        <v>45203</v>
      </c>
      <c r="F797" s="6">
        <v>92</v>
      </c>
      <c r="G797" s="24">
        <v>2.4</v>
      </c>
      <c r="H797">
        <f>IF(MONTH(Table13[[#This Row],[Date of Call]])&lt;6, YEAR(Table13[[#This Row],[Date of Call]]),YEAR(Table13[[#This Row],[Date of Call]])+1)</f>
        <v>2024</v>
      </c>
      <c r="I797" t="str">
        <f>TEXT(Table13[[#This Row],[Date of Call]],"dddd")</f>
        <v>Wednesday</v>
      </c>
      <c r="J7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7">
        <f>ROUND(Table13[[#This Row],[Satisfaction Rating]],0)</f>
        <v>2</v>
      </c>
    </row>
    <row r="798" spans="1:11" x14ac:dyDescent="0.3">
      <c r="A798" s="23" t="s">
        <v>839</v>
      </c>
      <c r="B798" s="6" t="s">
        <v>15</v>
      </c>
      <c r="C798" s="6">
        <v>57</v>
      </c>
      <c r="D798" s="13" t="s">
        <v>31</v>
      </c>
      <c r="E798" s="14">
        <v>45203</v>
      </c>
      <c r="F798" s="6">
        <v>48</v>
      </c>
      <c r="G798" s="24">
        <v>4.5</v>
      </c>
      <c r="H798">
        <f>IF(MONTH(Table13[[#This Row],[Date of Call]])&lt;6, YEAR(Table13[[#This Row],[Date of Call]]),YEAR(Table13[[#This Row],[Date of Call]])+1)</f>
        <v>2024</v>
      </c>
      <c r="I798" t="str">
        <f>TEXT(Table13[[#This Row],[Date of Call]],"dddd")</f>
        <v>Wednesday</v>
      </c>
      <c r="J7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798">
        <f>ROUND(Table13[[#This Row],[Satisfaction Rating]],0)</f>
        <v>5</v>
      </c>
    </row>
    <row r="799" spans="1:11" x14ac:dyDescent="0.3">
      <c r="A799" s="23" t="s">
        <v>840</v>
      </c>
      <c r="B799" s="6" t="s">
        <v>17</v>
      </c>
      <c r="C799" s="6">
        <v>103</v>
      </c>
      <c r="D799" s="13" t="s">
        <v>30</v>
      </c>
      <c r="E799" s="14">
        <v>45203</v>
      </c>
      <c r="F799" s="6">
        <v>160</v>
      </c>
      <c r="G799" s="24">
        <v>4.5</v>
      </c>
      <c r="H799">
        <f>IF(MONTH(Table13[[#This Row],[Date of Call]])&lt;6, YEAR(Table13[[#This Row],[Date of Call]]),YEAR(Table13[[#This Row],[Date of Call]])+1)</f>
        <v>2024</v>
      </c>
      <c r="I799" t="str">
        <f>TEXT(Table13[[#This Row],[Date of Call]],"dddd")</f>
        <v>Wednesday</v>
      </c>
      <c r="J7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799">
        <f>ROUND(Table13[[#This Row],[Satisfaction Rating]],0)</f>
        <v>5</v>
      </c>
    </row>
    <row r="800" spans="1:11" x14ac:dyDescent="0.3">
      <c r="A800" s="23" t="s">
        <v>841</v>
      </c>
      <c r="B800" s="6" t="s">
        <v>16</v>
      </c>
      <c r="C800" s="6">
        <v>138</v>
      </c>
      <c r="D800" s="13" t="s">
        <v>31</v>
      </c>
      <c r="E800" s="14">
        <v>45204</v>
      </c>
      <c r="F800" s="6">
        <v>155</v>
      </c>
      <c r="G800" s="24">
        <v>2.7</v>
      </c>
      <c r="H800">
        <f>IF(MONTH(Table13[[#This Row],[Date of Call]])&lt;6, YEAR(Table13[[#This Row],[Date of Call]]),YEAR(Table13[[#This Row],[Date of Call]])+1)</f>
        <v>2024</v>
      </c>
      <c r="I800" t="str">
        <f>TEXT(Table13[[#This Row],[Date of Call]],"dddd")</f>
        <v>Thursday</v>
      </c>
      <c r="J8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00">
        <f>ROUND(Table13[[#This Row],[Satisfaction Rating]],0)</f>
        <v>3</v>
      </c>
    </row>
    <row r="801" spans="1:11" x14ac:dyDescent="0.3">
      <c r="A801" s="23" t="s">
        <v>842</v>
      </c>
      <c r="B801" s="6" t="s">
        <v>13</v>
      </c>
      <c r="C801" s="6">
        <v>88</v>
      </c>
      <c r="D801" s="13" t="s">
        <v>29</v>
      </c>
      <c r="E801" s="14">
        <v>45204</v>
      </c>
      <c r="F801" s="6">
        <v>100</v>
      </c>
      <c r="G801" s="24">
        <v>4.9000000000000004</v>
      </c>
      <c r="H801">
        <f>IF(MONTH(Table13[[#This Row],[Date of Call]])&lt;6, YEAR(Table13[[#This Row],[Date of Call]]),YEAR(Table13[[#This Row],[Date of Call]])+1)</f>
        <v>2024</v>
      </c>
      <c r="I801" t="str">
        <f>TEXT(Table13[[#This Row],[Date of Call]],"dddd")</f>
        <v>Thursday</v>
      </c>
      <c r="J8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1">
        <f>ROUND(Table13[[#This Row],[Satisfaction Rating]],0)</f>
        <v>5</v>
      </c>
    </row>
    <row r="802" spans="1:11" x14ac:dyDescent="0.3">
      <c r="A802" s="23" t="s">
        <v>843</v>
      </c>
      <c r="B802" s="6" t="s">
        <v>12</v>
      </c>
      <c r="C802" s="6">
        <v>118</v>
      </c>
      <c r="D802" s="13" t="s">
        <v>28</v>
      </c>
      <c r="E802" s="14">
        <v>45204</v>
      </c>
      <c r="F802" s="6">
        <v>56</v>
      </c>
      <c r="G802" s="24">
        <v>3.7</v>
      </c>
      <c r="H802">
        <f>IF(MONTH(Table13[[#This Row],[Date of Call]])&lt;6, YEAR(Table13[[#This Row],[Date of Call]]),YEAR(Table13[[#This Row],[Date of Call]])+1)</f>
        <v>2024</v>
      </c>
      <c r="I802" t="str">
        <f>TEXT(Table13[[#This Row],[Date of Call]],"dddd")</f>
        <v>Thursday</v>
      </c>
      <c r="J8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2">
        <f>ROUND(Table13[[#This Row],[Satisfaction Rating]],0)</f>
        <v>4</v>
      </c>
    </row>
    <row r="803" spans="1:11" x14ac:dyDescent="0.3">
      <c r="A803" s="23" t="s">
        <v>844</v>
      </c>
      <c r="B803" s="6" t="s">
        <v>14</v>
      </c>
      <c r="C803" s="6">
        <v>4</v>
      </c>
      <c r="D803" s="13" t="s">
        <v>32</v>
      </c>
      <c r="E803" s="14">
        <v>45204</v>
      </c>
      <c r="F803" s="6">
        <v>170</v>
      </c>
      <c r="G803" s="24">
        <v>3.9</v>
      </c>
      <c r="H803">
        <f>IF(MONTH(Table13[[#This Row],[Date of Call]])&lt;6, YEAR(Table13[[#This Row],[Date of Call]]),YEAR(Table13[[#This Row],[Date of Call]])+1)</f>
        <v>2024</v>
      </c>
      <c r="I803" t="str">
        <f>TEXT(Table13[[#This Row],[Date of Call]],"dddd")</f>
        <v>Thursday</v>
      </c>
      <c r="J8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803">
        <f>ROUND(Table13[[#This Row],[Satisfaction Rating]],0)</f>
        <v>4</v>
      </c>
    </row>
    <row r="804" spans="1:11" x14ac:dyDescent="0.3">
      <c r="A804" s="23" t="s">
        <v>845</v>
      </c>
      <c r="B804" s="6" t="s">
        <v>4</v>
      </c>
      <c r="C804" s="6">
        <v>78</v>
      </c>
      <c r="D804" s="13" t="s">
        <v>30</v>
      </c>
      <c r="E804" s="14">
        <v>45205</v>
      </c>
      <c r="F804" s="6">
        <v>74</v>
      </c>
      <c r="G804" s="24">
        <v>3.5</v>
      </c>
      <c r="H804">
        <f>IF(MONTH(Table13[[#This Row],[Date of Call]])&lt;6, YEAR(Table13[[#This Row],[Date of Call]]),YEAR(Table13[[#This Row],[Date of Call]])+1)</f>
        <v>2024</v>
      </c>
      <c r="I804" t="str">
        <f>TEXT(Table13[[#This Row],[Date of Call]],"dddd")</f>
        <v>Friday</v>
      </c>
      <c r="J8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4">
        <f>ROUND(Table13[[#This Row],[Satisfaction Rating]],0)</f>
        <v>4</v>
      </c>
    </row>
    <row r="805" spans="1:11" x14ac:dyDescent="0.3">
      <c r="A805" s="23" t="s">
        <v>846</v>
      </c>
      <c r="B805" s="6" t="s">
        <v>9</v>
      </c>
      <c r="C805" s="6">
        <v>69</v>
      </c>
      <c r="D805" s="13" t="s">
        <v>32</v>
      </c>
      <c r="E805" s="14">
        <v>45205</v>
      </c>
      <c r="F805" s="6">
        <v>99</v>
      </c>
      <c r="G805" s="24">
        <v>2.7</v>
      </c>
      <c r="H805">
        <f>IF(MONTH(Table13[[#This Row],[Date of Call]])&lt;6, YEAR(Table13[[#This Row],[Date of Call]]),YEAR(Table13[[#This Row],[Date of Call]])+1)</f>
        <v>2024</v>
      </c>
      <c r="I805" t="str">
        <f>TEXT(Table13[[#This Row],[Date of Call]],"dddd")</f>
        <v>Friday</v>
      </c>
      <c r="J8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5">
        <f>ROUND(Table13[[#This Row],[Satisfaction Rating]],0)</f>
        <v>3</v>
      </c>
    </row>
    <row r="806" spans="1:11" x14ac:dyDescent="0.3">
      <c r="A806" s="23" t="s">
        <v>847</v>
      </c>
      <c r="B806" s="6" t="s">
        <v>10</v>
      </c>
      <c r="C806" s="6">
        <v>90</v>
      </c>
      <c r="D806" s="13" t="s">
        <v>31</v>
      </c>
      <c r="E806" s="14">
        <v>45205</v>
      </c>
      <c r="F806" s="6">
        <v>84</v>
      </c>
      <c r="G806" s="24">
        <v>3.9</v>
      </c>
      <c r="H806">
        <f>IF(MONTH(Table13[[#This Row],[Date of Call]])&lt;6, YEAR(Table13[[#This Row],[Date of Call]]),YEAR(Table13[[#This Row],[Date of Call]])+1)</f>
        <v>2024</v>
      </c>
      <c r="I806" t="str">
        <f>TEXT(Table13[[#This Row],[Date of Call]],"dddd")</f>
        <v>Friday</v>
      </c>
      <c r="J8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6">
        <f>ROUND(Table13[[#This Row],[Satisfaction Rating]],0)</f>
        <v>4</v>
      </c>
    </row>
    <row r="807" spans="1:11" x14ac:dyDescent="0.3">
      <c r="A807" s="23" t="s">
        <v>848</v>
      </c>
      <c r="B807" s="6" t="s">
        <v>9</v>
      </c>
      <c r="C807" s="6">
        <v>134</v>
      </c>
      <c r="D807" s="13" t="s">
        <v>32</v>
      </c>
      <c r="E807" s="14">
        <v>45205</v>
      </c>
      <c r="F807" s="6">
        <v>35</v>
      </c>
      <c r="G807" s="24">
        <v>3.4</v>
      </c>
      <c r="H807">
        <f>IF(MONTH(Table13[[#This Row],[Date of Call]])&lt;6, YEAR(Table13[[#This Row],[Date of Call]]),YEAR(Table13[[#This Row],[Date of Call]])+1)</f>
        <v>2024</v>
      </c>
      <c r="I807" t="str">
        <f>TEXT(Table13[[#This Row],[Date of Call]],"dddd")</f>
        <v>Friday</v>
      </c>
      <c r="J8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07">
        <f>ROUND(Table13[[#This Row],[Satisfaction Rating]],0)</f>
        <v>3</v>
      </c>
    </row>
    <row r="808" spans="1:11" x14ac:dyDescent="0.3">
      <c r="A808" s="23" t="s">
        <v>849</v>
      </c>
      <c r="B808" s="6" t="s">
        <v>7</v>
      </c>
      <c r="C808" s="6">
        <v>65</v>
      </c>
      <c r="D808" s="13" t="s">
        <v>28</v>
      </c>
      <c r="E808" s="14">
        <v>45205</v>
      </c>
      <c r="F808" s="6">
        <v>150</v>
      </c>
      <c r="G808" s="24">
        <v>5</v>
      </c>
      <c r="H808">
        <f>IF(MONTH(Table13[[#This Row],[Date of Call]])&lt;6, YEAR(Table13[[#This Row],[Date of Call]]),YEAR(Table13[[#This Row],[Date of Call]])+1)</f>
        <v>2024</v>
      </c>
      <c r="I808" t="str">
        <f>TEXT(Table13[[#This Row],[Date of Call]],"dddd")</f>
        <v>Friday</v>
      </c>
      <c r="J8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08">
        <f>ROUND(Table13[[#This Row],[Satisfaction Rating]],0)</f>
        <v>5</v>
      </c>
    </row>
    <row r="809" spans="1:11" x14ac:dyDescent="0.3">
      <c r="A809" s="23" t="s">
        <v>850</v>
      </c>
      <c r="B809" s="6" t="s">
        <v>8</v>
      </c>
      <c r="C809" s="6">
        <v>54</v>
      </c>
      <c r="D809" s="13" t="s">
        <v>30</v>
      </c>
      <c r="E809" s="14">
        <v>45206</v>
      </c>
      <c r="F809" s="6">
        <v>176</v>
      </c>
      <c r="G809" s="24">
        <v>4.4000000000000004</v>
      </c>
      <c r="H809">
        <f>IF(MONTH(Table13[[#This Row],[Date of Call]])&lt;6, YEAR(Table13[[#This Row],[Date of Call]]),YEAR(Table13[[#This Row],[Date of Call]])+1)</f>
        <v>2024</v>
      </c>
      <c r="I809" t="str">
        <f>TEXT(Table13[[#This Row],[Date of Call]],"dddd")</f>
        <v>Saturday</v>
      </c>
      <c r="J8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09">
        <f>ROUND(Table13[[#This Row],[Satisfaction Rating]],0)</f>
        <v>4</v>
      </c>
    </row>
    <row r="810" spans="1:11" x14ac:dyDescent="0.3">
      <c r="A810" s="23" t="s">
        <v>851</v>
      </c>
      <c r="B810" s="6" t="s">
        <v>8</v>
      </c>
      <c r="C810" s="6">
        <v>90</v>
      </c>
      <c r="D810" s="13" t="s">
        <v>30</v>
      </c>
      <c r="E810" s="14">
        <v>45206</v>
      </c>
      <c r="F810" s="6">
        <v>84</v>
      </c>
      <c r="G810" s="24">
        <v>4.3</v>
      </c>
      <c r="H810">
        <f>IF(MONTH(Table13[[#This Row],[Date of Call]])&lt;6, YEAR(Table13[[#This Row],[Date of Call]]),YEAR(Table13[[#This Row],[Date of Call]])+1)</f>
        <v>2024</v>
      </c>
      <c r="I810" t="str">
        <f>TEXT(Table13[[#This Row],[Date of Call]],"dddd")</f>
        <v>Saturday</v>
      </c>
      <c r="J8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10">
        <f>ROUND(Table13[[#This Row],[Satisfaction Rating]],0)</f>
        <v>4</v>
      </c>
    </row>
    <row r="811" spans="1:11" x14ac:dyDescent="0.3">
      <c r="A811" s="23" t="s">
        <v>852</v>
      </c>
      <c r="B811" s="6" t="s">
        <v>10</v>
      </c>
      <c r="C811" s="6">
        <v>66</v>
      </c>
      <c r="D811" s="13" t="s">
        <v>30</v>
      </c>
      <c r="E811" s="14">
        <v>45206</v>
      </c>
      <c r="F811" s="6">
        <v>136</v>
      </c>
      <c r="G811" s="24">
        <v>4.7</v>
      </c>
      <c r="H811">
        <f>IF(MONTH(Table13[[#This Row],[Date of Call]])&lt;6, YEAR(Table13[[#This Row],[Date of Call]]),YEAR(Table13[[#This Row],[Date of Call]])+1)</f>
        <v>2024</v>
      </c>
      <c r="I811" t="str">
        <f>TEXT(Table13[[#This Row],[Date of Call]],"dddd")</f>
        <v>Saturday</v>
      </c>
      <c r="J8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11">
        <f>ROUND(Table13[[#This Row],[Satisfaction Rating]],0)</f>
        <v>5</v>
      </c>
    </row>
    <row r="812" spans="1:11" x14ac:dyDescent="0.3">
      <c r="A812" s="23" t="s">
        <v>853</v>
      </c>
      <c r="B812" s="6" t="s">
        <v>14</v>
      </c>
      <c r="C812" s="6">
        <v>150</v>
      </c>
      <c r="D812" s="13" t="s">
        <v>30</v>
      </c>
      <c r="E812" s="14">
        <v>45207</v>
      </c>
      <c r="F812" s="6">
        <v>70</v>
      </c>
      <c r="G812" s="24">
        <v>4.0999999999999996</v>
      </c>
      <c r="H812">
        <f>IF(MONTH(Table13[[#This Row],[Date of Call]])&lt;6, YEAR(Table13[[#This Row],[Date of Call]]),YEAR(Table13[[#This Row],[Date of Call]])+1)</f>
        <v>2024</v>
      </c>
      <c r="I812" t="str">
        <f>TEXT(Table13[[#This Row],[Date of Call]],"dddd")</f>
        <v>Sunday</v>
      </c>
      <c r="J8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12">
        <f>ROUND(Table13[[#This Row],[Satisfaction Rating]],0)</f>
        <v>4</v>
      </c>
    </row>
    <row r="813" spans="1:11" x14ac:dyDescent="0.3">
      <c r="A813" s="23" t="s">
        <v>854</v>
      </c>
      <c r="B813" s="6" t="s">
        <v>5</v>
      </c>
      <c r="C813" s="6">
        <v>18</v>
      </c>
      <c r="D813" s="13" t="s">
        <v>28</v>
      </c>
      <c r="E813" s="14">
        <v>45207</v>
      </c>
      <c r="F813" s="6">
        <v>96</v>
      </c>
      <c r="G813" s="24">
        <v>4.8</v>
      </c>
      <c r="H813">
        <f>IF(MONTH(Table13[[#This Row],[Date of Call]])&lt;6, YEAR(Table13[[#This Row],[Date of Call]]),YEAR(Table13[[#This Row],[Date of Call]])+1)</f>
        <v>2024</v>
      </c>
      <c r="I813" t="str">
        <f>TEXT(Table13[[#This Row],[Date of Call]],"dddd")</f>
        <v>Sunday</v>
      </c>
      <c r="J8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813">
        <f>ROUND(Table13[[#This Row],[Satisfaction Rating]],0)</f>
        <v>5</v>
      </c>
    </row>
    <row r="814" spans="1:11" x14ac:dyDescent="0.3">
      <c r="A814" s="23" t="s">
        <v>855</v>
      </c>
      <c r="B814" s="6" t="s">
        <v>8</v>
      </c>
      <c r="C814" s="6">
        <v>87</v>
      </c>
      <c r="D814" s="13" t="s">
        <v>28</v>
      </c>
      <c r="E814" s="14">
        <v>45207</v>
      </c>
      <c r="F814" s="6">
        <v>23</v>
      </c>
      <c r="G814" s="24">
        <v>4.2</v>
      </c>
      <c r="H814">
        <f>IF(MONTH(Table13[[#This Row],[Date of Call]])&lt;6, YEAR(Table13[[#This Row],[Date of Call]]),YEAR(Table13[[#This Row],[Date of Call]])+1)</f>
        <v>2024</v>
      </c>
      <c r="I814" t="str">
        <f>TEXT(Table13[[#This Row],[Date of Call]],"dddd")</f>
        <v>Sunday</v>
      </c>
      <c r="J8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14">
        <f>ROUND(Table13[[#This Row],[Satisfaction Rating]],0)</f>
        <v>4</v>
      </c>
    </row>
    <row r="815" spans="1:11" x14ac:dyDescent="0.3">
      <c r="A815" s="23" t="s">
        <v>856</v>
      </c>
      <c r="B815" s="6" t="s">
        <v>16</v>
      </c>
      <c r="C815" s="6">
        <v>94</v>
      </c>
      <c r="D815" s="13" t="s">
        <v>30</v>
      </c>
      <c r="E815" s="14">
        <v>45208</v>
      </c>
      <c r="F815" s="6">
        <v>120</v>
      </c>
      <c r="G815" s="24">
        <v>3.4</v>
      </c>
      <c r="H815">
        <f>IF(MONTH(Table13[[#This Row],[Date of Call]])&lt;6, YEAR(Table13[[#This Row],[Date of Call]]),YEAR(Table13[[#This Row],[Date of Call]])+1)</f>
        <v>2024</v>
      </c>
      <c r="I815" t="str">
        <f>TEXT(Table13[[#This Row],[Date of Call]],"dddd")</f>
        <v>Monday</v>
      </c>
      <c r="J8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15">
        <f>ROUND(Table13[[#This Row],[Satisfaction Rating]],0)</f>
        <v>3</v>
      </c>
    </row>
    <row r="816" spans="1:11" x14ac:dyDescent="0.3">
      <c r="A816" s="23" t="s">
        <v>857</v>
      </c>
      <c r="B816" s="6" t="s">
        <v>15</v>
      </c>
      <c r="C816" s="6">
        <v>56</v>
      </c>
      <c r="D816" s="13" t="s">
        <v>30</v>
      </c>
      <c r="E816" s="14">
        <v>45208</v>
      </c>
      <c r="F816" s="6">
        <v>205</v>
      </c>
      <c r="G816" s="24">
        <v>3.3</v>
      </c>
      <c r="H816">
        <f>IF(MONTH(Table13[[#This Row],[Date of Call]])&lt;6, YEAR(Table13[[#This Row],[Date of Call]]),YEAR(Table13[[#This Row],[Date of Call]])+1)</f>
        <v>2024</v>
      </c>
      <c r="I816" t="str">
        <f>TEXT(Table13[[#This Row],[Date of Call]],"dddd")</f>
        <v>Monday</v>
      </c>
      <c r="J8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16">
        <f>ROUND(Table13[[#This Row],[Satisfaction Rating]],0)</f>
        <v>3</v>
      </c>
    </row>
    <row r="817" spans="1:11" x14ac:dyDescent="0.3">
      <c r="A817" s="23" t="s">
        <v>858</v>
      </c>
      <c r="B817" s="6" t="s">
        <v>12</v>
      </c>
      <c r="C817" s="6">
        <v>41</v>
      </c>
      <c r="D817" s="13" t="s">
        <v>29</v>
      </c>
      <c r="E817" s="14">
        <v>45209</v>
      </c>
      <c r="F817" s="6">
        <v>42</v>
      </c>
      <c r="G817" s="24">
        <v>3.8</v>
      </c>
      <c r="H817">
        <f>IF(MONTH(Table13[[#This Row],[Date of Call]])&lt;6, YEAR(Table13[[#This Row],[Date of Call]]),YEAR(Table13[[#This Row],[Date of Call]])+1)</f>
        <v>2024</v>
      </c>
      <c r="I817" t="str">
        <f>TEXT(Table13[[#This Row],[Date of Call]],"dddd")</f>
        <v>Tuesday</v>
      </c>
      <c r="J8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17">
        <f>ROUND(Table13[[#This Row],[Satisfaction Rating]],0)</f>
        <v>4</v>
      </c>
    </row>
    <row r="818" spans="1:11" x14ac:dyDescent="0.3">
      <c r="A818" s="23" t="s">
        <v>859</v>
      </c>
      <c r="B818" s="6" t="s">
        <v>14</v>
      </c>
      <c r="C818" s="6">
        <v>119</v>
      </c>
      <c r="D818" s="13" t="s">
        <v>31</v>
      </c>
      <c r="E818" s="14">
        <v>45209</v>
      </c>
      <c r="F818" s="6">
        <v>111</v>
      </c>
      <c r="G818" s="24">
        <v>3.9</v>
      </c>
      <c r="H818">
        <f>IF(MONTH(Table13[[#This Row],[Date of Call]])&lt;6, YEAR(Table13[[#This Row],[Date of Call]]),YEAR(Table13[[#This Row],[Date of Call]])+1)</f>
        <v>2024</v>
      </c>
      <c r="I818" t="str">
        <f>TEXT(Table13[[#This Row],[Date of Call]],"dddd")</f>
        <v>Tuesday</v>
      </c>
      <c r="J8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18">
        <f>ROUND(Table13[[#This Row],[Satisfaction Rating]],0)</f>
        <v>4</v>
      </c>
    </row>
    <row r="819" spans="1:11" x14ac:dyDescent="0.3">
      <c r="A819" s="23" t="s">
        <v>860</v>
      </c>
      <c r="B819" s="6" t="s">
        <v>17</v>
      </c>
      <c r="C819" s="6">
        <v>108</v>
      </c>
      <c r="D819" s="13" t="s">
        <v>30</v>
      </c>
      <c r="E819" s="14">
        <v>45209</v>
      </c>
      <c r="F819" s="6">
        <v>68</v>
      </c>
      <c r="G819" s="24">
        <v>2.5</v>
      </c>
      <c r="H819">
        <f>IF(MONTH(Table13[[#This Row],[Date of Call]])&lt;6, YEAR(Table13[[#This Row],[Date of Call]]),YEAR(Table13[[#This Row],[Date of Call]])+1)</f>
        <v>2024</v>
      </c>
      <c r="I819" t="str">
        <f>TEXT(Table13[[#This Row],[Date of Call]],"dddd")</f>
        <v>Tuesday</v>
      </c>
      <c r="J8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19">
        <f>ROUND(Table13[[#This Row],[Satisfaction Rating]],0)</f>
        <v>3</v>
      </c>
    </row>
    <row r="820" spans="1:11" x14ac:dyDescent="0.3">
      <c r="A820" s="23" t="s">
        <v>861</v>
      </c>
      <c r="B820" s="6" t="s">
        <v>4</v>
      </c>
      <c r="C820" s="6">
        <v>63</v>
      </c>
      <c r="D820" s="13" t="s">
        <v>32</v>
      </c>
      <c r="E820" s="14">
        <v>45209</v>
      </c>
      <c r="F820" s="6">
        <v>172</v>
      </c>
      <c r="G820" s="24">
        <v>4.9000000000000004</v>
      </c>
      <c r="H820">
        <f>IF(MONTH(Table13[[#This Row],[Date of Call]])&lt;6, YEAR(Table13[[#This Row],[Date of Call]]),YEAR(Table13[[#This Row],[Date of Call]])+1)</f>
        <v>2024</v>
      </c>
      <c r="I820" t="str">
        <f>TEXT(Table13[[#This Row],[Date of Call]],"dddd")</f>
        <v>Tuesday</v>
      </c>
      <c r="J8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20">
        <f>ROUND(Table13[[#This Row],[Satisfaction Rating]],0)</f>
        <v>5</v>
      </c>
    </row>
    <row r="821" spans="1:11" x14ac:dyDescent="0.3">
      <c r="A821" s="23" t="s">
        <v>862</v>
      </c>
      <c r="B821" s="6" t="s">
        <v>18</v>
      </c>
      <c r="C821" s="6">
        <v>59</v>
      </c>
      <c r="D821" s="13" t="s">
        <v>30</v>
      </c>
      <c r="E821" s="14">
        <v>45209</v>
      </c>
      <c r="F821" s="6">
        <v>152</v>
      </c>
      <c r="G821" s="24">
        <v>4.8</v>
      </c>
      <c r="H821">
        <f>IF(MONTH(Table13[[#This Row],[Date of Call]])&lt;6, YEAR(Table13[[#This Row],[Date of Call]]),YEAR(Table13[[#This Row],[Date of Call]])+1)</f>
        <v>2024</v>
      </c>
      <c r="I821" t="str">
        <f>TEXT(Table13[[#This Row],[Date of Call]],"dddd")</f>
        <v>Tuesday</v>
      </c>
      <c r="J8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21">
        <f>ROUND(Table13[[#This Row],[Satisfaction Rating]],0)</f>
        <v>5</v>
      </c>
    </row>
    <row r="822" spans="1:11" x14ac:dyDescent="0.3">
      <c r="A822" s="23" t="s">
        <v>863</v>
      </c>
      <c r="B822" s="6" t="s">
        <v>18</v>
      </c>
      <c r="C822" s="6">
        <v>90</v>
      </c>
      <c r="D822" s="13" t="s">
        <v>29</v>
      </c>
      <c r="E822" s="14">
        <v>45209</v>
      </c>
      <c r="F822" s="6">
        <v>48</v>
      </c>
      <c r="G822" s="24">
        <v>4.7</v>
      </c>
      <c r="H822">
        <f>IF(MONTH(Table13[[#This Row],[Date of Call]])&lt;6, YEAR(Table13[[#This Row],[Date of Call]]),YEAR(Table13[[#This Row],[Date of Call]])+1)</f>
        <v>2024</v>
      </c>
      <c r="I822" t="str">
        <f>TEXT(Table13[[#This Row],[Date of Call]],"dddd")</f>
        <v>Tuesday</v>
      </c>
      <c r="J8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22">
        <f>ROUND(Table13[[#This Row],[Satisfaction Rating]],0)</f>
        <v>5</v>
      </c>
    </row>
    <row r="823" spans="1:11" x14ac:dyDescent="0.3">
      <c r="A823" s="23" t="s">
        <v>864</v>
      </c>
      <c r="B823" s="6" t="s">
        <v>13</v>
      </c>
      <c r="C823" s="6">
        <v>55</v>
      </c>
      <c r="D823" s="13" t="s">
        <v>29</v>
      </c>
      <c r="E823" s="14">
        <v>45209</v>
      </c>
      <c r="F823" s="6">
        <v>25</v>
      </c>
      <c r="G823" s="24">
        <v>4.7</v>
      </c>
      <c r="H823">
        <f>IF(MONTH(Table13[[#This Row],[Date of Call]])&lt;6, YEAR(Table13[[#This Row],[Date of Call]]),YEAR(Table13[[#This Row],[Date of Call]])+1)</f>
        <v>2024</v>
      </c>
      <c r="I823" t="str">
        <f>TEXT(Table13[[#This Row],[Date of Call]],"dddd")</f>
        <v>Tuesday</v>
      </c>
      <c r="J8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23">
        <f>ROUND(Table13[[#This Row],[Satisfaction Rating]],0)</f>
        <v>5</v>
      </c>
    </row>
    <row r="824" spans="1:11" x14ac:dyDescent="0.3">
      <c r="A824" s="23" t="s">
        <v>865</v>
      </c>
      <c r="B824" s="6" t="s">
        <v>17</v>
      </c>
      <c r="C824" s="6">
        <v>84</v>
      </c>
      <c r="D824" s="13" t="s">
        <v>31</v>
      </c>
      <c r="E824" s="14">
        <v>45210</v>
      </c>
      <c r="F824" s="6">
        <v>54</v>
      </c>
      <c r="G824" s="24">
        <v>3.3</v>
      </c>
      <c r="H824">
        <f>IF(MONTH(Table13[[#This Row],[Date of Call]])&lt;6, YEAR(Table13[[#This Row],[Date of Call]]),YEAR(Table13[[#This Row],[Date of Call]])+1)</f>
        <v>2024</v>
      </c>
      <c r="I824" t="str">
        <f>TEXT(Table13[[#This Row],[Date of Call]],"dddd")</f>
        <v>Wednesday</v>
      </c>
      <c r="J8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24">
        <f>ROUND(Table13[[#This Row],[Satisfaction Rating]],0)</f>
        <v>3</v>
      </c>
    </row>
    <row r="825" spans="1:11" x14ac:dyDescent="0.3">
      <c r="A825" s="23" t="s">
        <v>866</v>
      </c>
      <c r="B825" s="6" t="s">
        <v>17</v>
      </c>
      <c r="C825" s="6">
        <v>150</v>
      </c>
      <c r="D825" s="13" t="s">
        <v>28</v>
      </c>
      <c r="E825" s="14">
        <v>45210</v>
      </c>
      <c r="F825" s="6">
        <v>108</v>
      </c>
      <c r="G825" s="24">
        <v>4.7</v>
      </c>
      <c r="H825">
        <f>IF(MONTH(Table13[[#This Row],[Date of Call]])&lt;6, YEAR(Table13[[#This Row],[Date of Call]]),YEAR(Table13[[#This Row],[Date of Call]])+1)</f>
        <v>2024</v>
      </c>
      <c r="I825" t="str">
        <f>TEXT(Table13[[#This Row],[Date of Call]],"dddd")</f>
        <v>Wednesday</v>
      </c>
      <c r="J8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25">
        <f>ROUND(Table13[[#This Row],[Satisfaction Rating]],0)</f>
        <v>5</v>
      </c>
    </row>
    <row r="826" spans="1:11" x14ac:dyDescent="0.3">
      <c r="A826" s="23" t="s">
        <v>867</v>
      </c>
      <c r="B826" s="6" t="s">
        <v>11</v>
      </c>
      <c r="C826" s="6">
        <v>69</v>
      </c>
      <c r="D826" s="13" t="s">
        <v>30</v>
      </c>
      <c r="E826" s="14">
        <v>45210</v>
      </c>
      <c r="F826" s="6">
        <v>36</v>
      </c>
      <c r="G826" s="24">
        <v>4.5</v>
      </c>
      <c r="H826">
        <f>IF(MONTH(Table13[[#This Row],[Date of Call]])&lt;6, YEAR(Table13[[#This Row],[Date of Call]]),YEAR(Table13[[#This Row],[Date of Call]])+1)</f>
        <v>2024</v>
      </c>
      <c r="I826" t="str">
        <f>TEXT(Table13[[#This Row],[Date of Call]],"dddd")</f>
        <v>Wednesday</v>
      </c>
      <c r="J8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26">
        <f>ROUND(Table13[[#This Row],[Satisfaction Rating]],0)</f>
        <v>5</v>
      </c>
    </row>
    <row r="827" spans="1:11" x14ac:dyDescent="0.3">
      <c r="A827" s="23" t="s">
        <v>868</v>
      </c>
      <c r="B827" s="6" t="s">
        <v>6</v>
      </c>
      <c r="C827" s="6">
        <v>120</v>
      </c>
      <c r="D827" s="13" t="s">
        <v>29</v>
      </c>
      <c r="E827" s="14">
        <v>45211</v>
      </c>
      <c r="F827" s="6">
        <v>140</v>
      </c>
      <c r="G827" s="24">
        <v>4.5999999999999996</v>
      </c>
      <c r="H827">
        <f>IF(MONTH(Table13[[#This Row],[Date of Call]])&lt;6, YEAR(Table13[[#This Row],[Date of Call]]),YEAR(Table13[[#This Row],[Date of Call]])+1)</f>
        <v>2024</v>
      </c>
      <c r="I827" t="str">
        <f>TEXT(Table13[[#This Row],[Date of Call]],"dddd")</f>
        <v>Thursday</v>
      </c>
      <c r="J8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27">
        <f>ROUND(Table13[[#This Row],[Satisfaction Rating]],0)</f>
        <v>5</v>
      </c>
    </row>
    <row r="828" spans="1:11" x14ac:dyDescent="0.3">
      <c r="A828" s="23" t="s">
        <v>869</v>
      </c>
      <c r="B828" s="6" t="s">
        <v>8</v>
      </c>
      <c r="C828" s="6">
        <v>126</v>
      </c>
      <c r="D828" s="13" t="s">
        <v>31</v>
      </c>
      <c r="E828" s="14">
        <v>45211</v>
      </c>
      <c r="F828" s="6">
        <v>50</v>
      </c>
      <c r="G828" s="24">
        <v>4.8</v>
      </c>
      <c r="H828">
        <f>IF(MONTH(Table13[[#This Row],[Date of Call]])&lt;6, YEAR(Table13[[#This Row],[Date of Call]]),YEAR(Table13[[#This Row],[Date of Call]])+1)</f>
        <v>2024</v>
      </c>
      <c r="I828" t="str">
        <f>TEXT(Table13[[#This Row],[Date of Call]],"dddd")</f>
        <v>Thursday</v>
      </c>
      <c r="J8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28">
        <f>ROUND(Table13[[#This Row],[Satisfaction Rating]],0)</f>
        <v>5</v>
      </c>
    </row>
    <row r="829" spans="1:11" x14ac:dyDescent="0.3">
      <c r="A829" s="23" t="s">
        <v>870</v>
      </c>
      <c r="B829" s="6" t="s">
        <v>11</v>
      </c>
      <c r="C829" s="6">
        <v>120</v>
      </c>
      <c r="D829" s="13" t="s">
        <v>32</v>
      </c>
      <c r="E829" s="14">
        <v>45211</v>
      </c>
      <c r="F829" s="6">
        <v>195</v>
      </c>
      <c r="G829" s="24">
        <v>4.3</v>
      </c>
      <c r="H829">
        <f>IF(MONTH(Table13[[#This Row],[Date of Call]])&lt;6, YEAR(Table13[[#This Row],[Date of Call]]),YEAR(Table13[[#This Row],[Date of Call]])+1)</f>
        <v>2024</v>
      </c>
      <c r="I829" t="str">
        <f>TEXT(Table13[[#This Row],[Date of Call]],"dddd")</f>
        <v>Thursday</v>
      </c>
      <c r="J8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29">
        <f>ROUND(Table13[[#This Row],[Satisfaction Rating]],0)</f>
        <v>4</v>
      </c>
    </row>
    <row r="830" spans="1:11" x14ac:dyDescent="0.3">
      <c r="A830" s="23" t="s">
        <v>871</v>
      </c>
      <c r="B830" s="6" t="s">
        <v>8</v>
      </c>
      <c r="C830" s="6">
        <v>139</v>
      </c>
      <c r="D830" s="13" t="s">
        <v>29</v>
      </c>
      <c r="E830" s="14">
        <v>45212</v>
      </c>
      <c r="F830" s="6">
        <v>48</v>
      </c>
      <c r="G830" s="24">
        <v>4.7</v>
      </c>
      <c r="H830">
        <f>IF(MONTH(Table13[[#This Row],[Date of Call]])&lt;6, YEAR(Table13[[#This Row],[Date of Call]]),YEAR(Table13[[#This Row],[Date of Call]])+1)</f>
        <v>2024</v>
      </c>
      <c r="I830" t="str">
        <f>TEXT(Table13[[#This Row],[Date of Call]],"dddd")</f>
        <v>Friday</v>
      </c>
      <c r="J8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30">
        <f>ROUND(Table13[[#This Row],[Satisfaction Rating]],0)</f>
        <v>5</v>
      </c>
    </row>
    <row r="831" spans="1:11" x14ac:dyDescent="0.3">
      <c r="A831" s="23" t="s">
        <v>872</v>
      </c>
      <c r="B831" s="6" t="s">
        <v>13</v>
      </c>
      <c r="C831" s="6">
        <v>124</v>
      </c>
      <c r="D831" s="13" t="s">
        <v>30</v>
      </c>
      <c r="E831" s="14">
        <v>45213</v>
      </c>
      <c r="F831" s="6">
        <v>29</v>
      </c>
      <c r="G831" s="24">
        <v>4.8</v>
      </c>
      <c r="H831">
        <f>IF(MONTH(Table13[[#This Row],[Date of Call]])&lt;6, YEAR(Table13[[#This Row],[Date of Call]]),YEAR(Table13[[#This Row],[Date of Call]])+1)</f>
        <v>2024</v>
      </c>
      <c r="I831" t="str">
        <f>TEXT(Table13[[#This Row],[Date of Call]],"dddd")</f>
        <v>Saturday</v>
      </c>
      <c r="J8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31">
        <f>ROUND(Table13[[#This Row],[Satisfaction Rating]],0)</f>
        <v>5</v>
      </c>
    </row>
    <row r="832" spans="1:11" x14ac:dyDescent="0.3">
      <c r="A832" s="23" t="s">
        <v>873</v>
      </c>
      <c r="B832" s="6" t="s">
        <v>6</v>
      </c>
      <c r="C832" s="6">
        <v>108</v>
      </c>
      <c r="D832" s="13" t="s">
        <v>32</v>
      </c>
      <c r="E832" s="14">
        <v>45213</v>
      </c>
      <c r="F832" s="6">
        <v>44</v>
      </c>
      <c r="G832" s="24">
        <v>4.7</v>
      </c>
      <c r="H832">
        <f>IF(MONTH(Table13[[#This Row],[Date of Call]])&lt;6, YEAR(Table13[[#This Row],[Date of Call]]),YEAR(Table13[[#This Row],[Date of Call]])+1)</f>
        <v>2024</v>
      </c>
      <c r="I832" t="str">
        <f>TEXT(Table13[[#This Row],[Date of Call]],"dddd")</f>
        <v>Saturday</v>
      </c>
      <c r="J8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32">
        <f>ROUND(Table13[[#This Row],[Satisfaction Rating]],0)</f>
        <v>5</v>
      </c>
    </row>
    <row r="833" spans="1:11" x14ac:dyDescent="0.3">
      <c r="A833" s="23" t="s">
        <v>874</v>
      </c>
      <c r="B833" s="6" t="s">
        <v>7</v>
      </c>
      <c r="C833" s="6">
        <v>132</v>
      </c>
      <c r="D833" s="13" t="s">
        <v>28</v>
      </c>
      <c r="E833" s="14">
        <v>45213</v>
      </c>
      <c r="F833" s="6">
        <v>140</v>
      </c>
      <c r="G833" s="24">
        <v>4.3</v>
      </c>
      <c r="H833">
        <f>IF(MONTH(Table13[[#This Row],[Date of Call]])&lt;6, YEAR(Table13[[#This Row],[Date of Call]]),YEAR(Table13[[#This Row],[Date of Call]])+1)</f>
        <v>2024</v>
      </c>
      <c r="I833" t="str">
        <f>TEXT(Table13[[#This Row],[Date of Call]],"dddd")</f>
        <v>Saturday</v>
      </c>
      <c r="J8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33">
        <f>ROUND(Table13[[#This Row],[Satisfaction Rating]],0)</f>
        <v>4</v>
      </c>
    </row>
    <row r="834" spans="1:11" x14ac:dyDescent="0.3">
      <c r="A834" s="23" t="s">
        <v>875</v>
      </c>
      <c r="B834" s="6" t="s">
        <v>4</v>
      </c>
      <c r="C834" s="6">
        <v>67</v>
      </c>
      <c r="D834" s="13" t="s">
        <v>28</v>
      </c>
      <c r="E834" s="14">
        <v>45213</v>
      </c>
      <c r="F834" s="6">
        <v>105</v>
      </c>
      <c r="G834" s="24">
        <v>3.8</v>
      </c>
      <c r="H834">
        <f>IF(MONTH(Table13[[#This Row],[Date of Call]])&lt;6, YEAR(Table13[[#This Row],[Date of Call]]),YEAR(Table13[[#This Row],[Date of Call]])+1)</f>
        <v>2024</v>
      </c>
      <c r="I834" t="str">
        <f>TEXT(Table13[[#This Row],[Date of Call]],"dddd")</f>
        <v>Saturday</v>
      </c>
      <c r="J8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34">
        <f>ROUND(Table13[[#This Row],[Satisfaction Rating]],0)</f>
        <v>4</v>
      </c>
    </row>
    <row r="835" spans="1:11" x14ac:dyDescent="0.3">
      <c r="A835" s="23" t="s">
        <v>876</v>
      </c>
      <c r="B835" s="6" t="s">
        <v>10</v>
      </c>
      <c r="C835" s="6">
        <v>125</v>
      </c>
      <c r="D835" s="13" t="s">
        <v>28</v>
      </c>
      <c r="E835" s="14">
        <v>45213</v>
      </c>
      <c r="F835" s="6">
        <v>82</v>
      </c>
      <c r="G835" s="24">
        <v>4.5999999999999996</v>
      </c>
      <c r="H835">
        <f>IF(MONTH(Table13[[#This Row],[Date of Call]])&lt;6, YEAR(Table13[[#This Row],[Date of Call]]),YEAR(Table13[[#This Row],[Date of Call]])+1)</f>
        <v>2024</v>
      </c>
      <c r="I835" t="str">
        <f>TEXT(Table13[[#This Row],[Date of Call]],"dddd")</f>
        <v>Saturday</v>
      </c>
      <c r="J8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35">
        <f>ROUND(Table13[[#This Row],[Satisfaction Rating]],0)</f>
        <v>5</v>
      </c>
    </row>
    <row r="836" spans="1:11" x14ac:dyDescent="0.3">
      <c r="A836" s="23" t="s">
        <v>877</v>
      </c>
      <c r="B836" s="6" t="s">
        <v>6</v>
      </c>
      <c r="C836" s="6">
        <v>23</v>
      </c>
      <c r="D836" s="13" t="s">
        <v>32</v>
      </c>
      <c r="E836" s="14">
        <v>45213</v>
      </c>
      <c r="F836" s="6">
        <v>24</v>
      </c>
      <c r="G836" s="24">
        <v>2.9</v>
      </c>
      <c r="H836">
        <f>IF(MONTH(Table13[[#This Row],[Date of Call]])&lt;6, YEAR(Table13[[#This Row],[Date of Call]]),YEAR(Table13[[#This Row],[Date of Call]])+1)</f>
        <v>2024</v>
      </c>
      <c r="I836" t="str">
        <f>TEXT(Table13[[#This Row],[Date of Call]],"dddd")</f>
        <v>Saturday</v>
      </c>
      <c r="J8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836">
        <f>ROUND(Table13[[#This Row],[Satisfaction Rating]],0)</f>
        <v>3</v>
      </c>
    </row>
    <row r="837" spans="1:11" x14ac:dyDescent="0.3">
      <c r="A837" s="23" t="s">
        <v>878</v>
      </c>
      <c r="B837" s="6" t="s">
        <v>14</v>
      </c>
      <c r="C837" s="6">
        <v>131</v>
      </c>
      <c r="D837" s="13" t="s">
        <v>30</v>
      </c>
      <c r="E837" s="14">
        <v>45214</v>
      </c>
      <c r="F837" s="6">
        <v>205</v>
      </c>
      <c r="G837" s="24">
        <v>4.8</v>
      </c>
      <c r="H837">
        <f>IF(MONTH(Table13[[#This Row],[Date of Call]])&lt;6, YEAR(Table13[[#This Row],[Date of Call]]),YEAR(Table13[[#This Row],[Date of Call]])+1)</f>
        <v>2024</v>
      </c>
      <c r="I837" t="str">
        <f>TEXT(Table13[[#This Row],[Date of Call]],"dddd")</f>
        <v>Sunday</v>
      </c>
      <c r="J8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37">
        <f>ROUND(Table13[[#This Row],[Satisfaction Rating]],0)</f>
        <v>5</v>
      </c>
    </row>
    <row r="838" spans="1:11" x14ac:dyDescent="0.3">
      <c r="A838" s="23" t="s">
        <v>879</v>
      </c>
      <c r="B838" s="6" t="s">
        <v>7</v>
      </c>
      <c r="C838" s="6">
        <v>56</v>
      </c>
      <c r="D838" s="13" t="s">
        <v>29</v>
      </c>
      <c r="E838" s="14">
        <v>45214</v>
      </c>
      <c r="F838" s="6">
        <v>225</v>
      </c>
      <c r="G838" s="24">
        <v>4.9000000000000004</v>
      </c>
      <c r="H838">
        <f>IF(MONTH(Table13[[#This Row],[Date of Call]])&lt;6, YEAR(Table13[[#This Row],[Date of Call]]),YEAR(Table13[[#This Row],[Date of Call]])+1)</f>
        <v>2024</v>
      </c>
      <c r="I838" t="str">
        <f>TEXT(Table13[[#This Row],[Date of Call]],"dddd")</f>
        <v>Sunday</v>
      </c>
      <c r="J8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38">
        <f>ROUND(Table13[[#This Row],[Satisfaction Rating]],0)</f>
        <v>5</v>
      </c>
    </row>
    <row r="839" spans="1:11" x14ac:dyDescent="0.3">
      <c r="A839" s="23" t="s">
        <v>880</v>
      </c>
      <c r="B839" s="6" t="s">
        <v>14</v>
      </c>
      <c r="C839" s="6">
        <v>70</v>
      </c>
      <c r="D839" s="13" t="s">
        <v>30</v>
      </c>
      <c r="E839" s="14">
        <v>45214</v>
      </c>
      <c r="F839" s="6">
        <v>50</v>
      </c>
      <c r="G839" s="24">
        <v>3.4</v>
      </c>
      <c r="H839">
        <f>IF(MONTH(Table13[[#This Row],[Date of Call]])&lt;6, YEAR(Table13[[#This Row],[Date of Call]]),YEAR(Table13[[#This Row],[Date of Call]])+1)</f>
        <v>2024</v>
      </c>
      <c r="I839" t="str">
        <f>TEXT(Table13[[#This Row],[Date of Call]],"dddd")</f>
        <v>Sunday</v>
      </c>
      <c r="J8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39">
        <f>ROUND(Table13[[#This Row],[Satisfaction Rating]],0)</f>
        <v>3</v>
      </c>
    </row>
    <row r="840" spans="1:11" x14ac:dyDescent="0.3">
      <c r="A840" s="23" t="s">
        <v>881</v>
      </c>
      <c r="B840" s="6" t="s">
        <v>14</v>
      </c>
      <c r="C840" s="6">
        <v>55</v>
      </c>
      <c r="D840" s="13" t="s">
        <v>28</v>
      </c>
      <c r="E840" s="14">
        <v>45214</v>
      </c>
      <c r="F840" s="6">
        <v>80</v>
      </c>
      <c r="G840" s="24">
        <v>4.3</v>
      </c>
      <c r="H840">
        <f>IF(MONTH(Table13[[#This Row],[Date of Call]])&lt;6, YEAR(Table13[[#This Row],[Date of Call]]),YEAR(Table13[[#This Row],[Date of Call]])+1)</f>
        <v>2024</v>
      </c>
      <c r="I840" t="str">
        <f>TEXT(Table13[[#This Row],[Date of Call]],"dddd")</f>
        <v>Sunday</v>
      </c>
      <c r="J8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40">
        <f>ROUND(Table13[[#This Row],[Satisfaction Rating]],0)</f>
        <v>4</v>
      </c>
    </row>
    <row r="841" spans="1:11" x14ac:dyDescent="0.3">
      <c r="A841" s="23" t="s">
        <v>882</v>
      </c>
      <c r="B841" s="6" t="s">
        <v>10</v>
      </c>
      <c r="C841" s="6">
        <v>77</v>
      </c>
      <c r="D841" s="13" t="s">
        <v>29</v>
      </c>
      <c r="E841" s="14">
        <v>45214</v>
      </c>
      <c r="F841" s="6">
        <v>78</v>
      </c>
      <c r="G841" s="24">
        <v>3.9</v>
      </c>
      <c r="H841">
        <f>IF(MONTH(Table13[[#This Row],[Date of Call]])&lt;6, YEAR(Table13[[#This Row],[Date of Call]]),YEAR(Table13[[#This Row],[Date of Call]])+1)</f>
        <v>2024</v>
      </c>
      <c r="I841" t="str">
        <f>TEXT(Table13[[#This Row],[Date of Call]],"dddd")</f>
        <v>Sunday</v>
      </c>
      <c r="J8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41">
        <f>ROUND(Table13[[#This Row],[Satisfaction Rating]],0)</f>
        <v>4</v>
      </c>
    </row>
    <row r="842" spans="1:11" x14ac:dyDescent="0.3">
      <c r="A842" s="23" t="s">
        <v>883</v>
      </c>
      <c r="B842" s="6" t="s">
        <v>17</v>
      </c>
      <c r="C842" s="6">
        <v>133</v>
      </c>
      <c r="D842" s="13" t="s">
        <v>30</v>
      </c>
      <c r="E842" s="14">
        <v>45215</v>
      </c>
      <c r="F842" s="6">
        <v>40</v>
      </c>
      <c r="G842" s="24">
        <v>3.9</v>
      </c>
      <c r="H842">
        <f>IF(MONTH(Table13[[#This Row],[Date of Call]])&lt;6, YEAR(Table13[[#This Row],[Date of Call]]),YEAR(Table13[[#This Row],[Date of Call]])+1)</f>
        <v>2024</v>
      </c>
      <c r="I842" t="str">
        <f>TEXT(Table13[[#This Row],[Date of Call]],"dddd")</f>
        <v>Monday</v>
      </c>
      <c r="J8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42">
        <f>ROUND(Table13[[#This Row],[Satisfaction Rating]],0)</f>
        <v>4</v>
      </c>
    </row>
    <row r="843" spans="1:11" x14ac:dyDescent="0.3">
      <c r="A843" s="23" t="s">
        <v>884</v>
      </c>
      <c r="B843" s="6" t="s">
        <v>10</v>
      </c>
      <c r="C843" s="6">
        <v>77</v>
      </c>
      <c r="D843" s="13" t="s">
        <v>29</v>
      </c>
      <c r="E843" s="14">
        <v>45215</v>
      </c>
      <c r="F843" s="6">
        <v>176</v>
      </c>
      <c r="G843" s="24">
        <v>1.5</v>
      </c>
      <c r="H843">
        <f>IF(MONTH(Table13[[#This Row],[Date of Call]])&lt;6, YEAR(Table13[[#This Row],[Date of Call]]),YEAR(Table13[[#This Row],[Date of Call]])+1)</f>
        <v>2024</v>
      </c>
      <c r="I843" t="str">
        <f>TEXT(Table13[[#This Row],[Date of Call]],"dddd")</f>
        <v>Monday</v>
      </c>
      <c r="J8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43">
        <f>ROUND(Table13[[#This Row],[Satisfaction Rating]],0)</f>
        <v>2</v>
      </c>
    </row>
    <row r="844" spans="1:11" x14ac:dyDescent="0.3">
      <c r="A844" s="23" t="s">
        <v>885</v>
      </c>
      <c r="B844" s="6" t="s">
        <v>18</v>
      </c>
      <c r="C844" s="6">
        <v>103</v>
      </c>
      <c r="D844" s="13" t="s">
        <v>30</v>
      </c>
      <c r="E844" s="14">
        <v>45215</v>
      </c>
      <c r="F844" s="6">
        <v>78</v>
      </c>
      <c r="G844" s="24">
        <v>3</v>
      </c>
      <c r="H844">
        <f>IF(MONTH(Table13[[#This Row],[Date of Call]])&lt;6, YEAR(Table13[[#This Row],[Date of Call]]),YEAR(Table13[[#This Row],[Date of Call]])+1)</f>
        <v>2024</v>
      </c>
      <c r="I844" t="str">
        <f>TEXT(Table13[[#This Row],[Date of Call]],"dddd")</f>
        <v>Monday</v>
      </c>
      <c r="J8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44">
        <f>ROUND(Table13[[#This Row],[Satisfaction Rating]],0)</f>
        <v>3</v>
      </c>
    </row>
    <row r="845" spans="1:11" x14ac:dyDescent="0.3">
      <c r="A845" s="23" t="s">
        <v>886</v>
      </c>
      <c r="B845" s="6" t="s">
        <v>11</v>
      </c>
      <c r="C845" s="6">
        <v>32</v>
      </c>
      <c r="D845" s="13" t="s">
        <v>29</v>
      </c>
      <c r="E845" s="14">
        <v>45215</v>
      </c>
      <c r="F845" s="6">
        <v>42</v>
      </c>
      <c r="G845" s="24">
        <v>4.2</v>
      </c>
      <c r="H845">
        <f>IF(MONTH(Table13[[#This Row],[Date of Call]])&lt;6, YEAR(Table13[[#This Row],[Date of Call]]),YEAR(Table13[[#This Row],[Date of Call]])+1)</f>
        <v>2024</v>
      </c>
      <c r="I845" t="str">
        <f>TEXT(Table13[[#This Row],[Date of Call]],"dddd")</f>
        <v>Monday</v>
      </c>
      <c r="J8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45">
        <f>ROUND(Table13[[#This Row],[Satisfaction Rating]],0)</f>
        <v>4</v>
      </c>
    </row>
    <row r="846" spans="1:11" x14ac:dyDescent="0.3">
      <c r="A846" s="23" t="s">
        <v>887</v>
      </c>
      <c r="B846" s="6" t="s">
        <v>17</v>
      </c>
      <c r="C846" s="6">
        <v>30</v>
      </c>
      <c r="D846" s="13" t="s">
        <v>30</v>
      </c>
      <c r="E846" s="14">
        <v>45215</v>
      </c>
      <c r="F846" s="6">
        <v>38</v>
      </c>
      <c r="G846" s="24">
        <v>3.7</v>
      </c>
      <c r="H846">
        <f>IF(MONTH(Table13[[#This Row],[Date of Call]])&lt;6, YEAR(Table13[[#This Row],[Date of Call]]),YEAR(Table13[[#This Row],[Date of Call]])+1)</f>
        <v>2024</v>
      </c>
      <c r="I846" t="str">
        <f>TEXT(Table13[[#This Row],[Date of Call]],"dddd")</f>
        <v>Monday</v>
      </c>
      <c r="J8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46">
        <f>ROUND(Table13[[#This Row],[Satisfaction Rating]],0)</f>
        <v>4</v>
      </c>
    </row>
    <row r="847" spans="1:11" x14ac:dyDescent="0.3">
      <c r="A847" s="23" t="s">
        <v>888</v>
      </c>
      <c r="B847" s="6" t="s">
        <v>8</v>
      </c>
      <c r="C847" s="6">
        <v>87</v>
      </c>
      <c r="D847" s="13" t="s">
        <v>31</v>
      </c>
      <c r="E847" s="14">
        <v>45215</v>
      </c>
      <c r="F847" s="6">
        <v>27</v>
      </c>
      <c r="G847" s="24">
        <v>4.2</v>
      </c>
      <c r="H847">
        <f>IF(MONTH(Table13[[#This Row],[Date of Call]])&lt;6, YEAR(Table13[[#This Row],[Date of Call]]),YEAR(Table13[[#This Row],[Date of Call]])+1)</f>
        <v>2024</v>
      </c>
      <c r="I847" t="str">
        <f>TEXT(Table13[[#This Row],[Date of Call]],"dddd")</f>
        <v>Monday</v>
      </c>
      <c r="J8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47">
        <f>ROUND(Table13[[#This Row],[Satisfaction Rating]],0)</f>
        <v>4</v>
      </c>
    </row>
    <row r="848" spans="1:11" x14ac:dyDescent="0.3">
      <c r="A848" s="23" t="s">
        <v>889</v>
      </c>
      <c r="B848" s="6" t="s">
        <v>10</v>
      </c>
      <c r="C848" s="6">
        <v>137</v>
      </c>
      <c r="D848" s="13" t="s">
        <v>32</v>
      </c>
      <c r="E848" s="14">
        <v>45216</v>
      </c>
      <c r="F848" s="6">
        <v>45</v>
      </c>
      <c r="G848" s="24">
        <v>4.4000000000000004</v>
      </c>
      <c r="H848">
        <f>IF(MONTH(Table13[[#This Row],[Date of Call]])&lt;6, YEAR(Table13[[#This Row],[Date of Call]]),YEAR(Table13[[#This Row],[Date of Call]])+1)</f>
        <v>2024</v>
      </c>
      <c r="I848" t="str">
        <f>TEXT(Table13[[#This Row],[Date of Call]],"dddd")</f>
        <v>Tuesday</v>
      </c>
      <c r="J8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48">
        <f>ROUND(Table13[[#This Row],[Satisfaction Rating]],0)</f>
        <v>4</v>
      </c>
    </row>
    <row r="849" spans="1:11" x14ac:dyDescent="0.3">
      <c r="A849" s="23" t="s">
        <v>890</v>
      </c>
      <c r="B849" s="6" t="s">
        <v>16</v>
      </c>
      <c r="C849" s="6">
        <v>96</v>
      </c>
      <c r="D849" s="13" t="s">
        <v>30</v>
      </c>
      <c r="E849" s="14">
        <v>45216</v>
      </c>
      <c r="F849" s="6">
        <v>215</v>
      </c>
      <c r="G849" s="24">
        <v>4</v>
      </c>
      <c r="H849">
        <f>IF(MONTH(Table13[[#This Row],[Date of Call]])&lt;6, YEAR(Table13[[#This Row],[Date of Call]]),YEAR(Table13[[#This Row],[Date of Call]])+1)</f>
        <v>2024</v>
      </c>
      <c r="I849" t="str">
        <f>TEXT(Table13[[#This Row],[Date of Call]],"dddd")</f>
        <v>Tuesday</v>
      </c>
      <c r="J8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49">
        <f>ROUND(Table13[[#This Row],[Satisfaction Rating]],0)</f>
        <v>4</v>
      </c>
    </row>
    <row r="850" spans="1:11" x14ac:dyDescent="0.3">
      <c r="A850" s="23" t="s">
        <v>891</v>
      </c>
      <c r="B850" s="6" t="s">
        <v>13</v>
      </c>
      <c r="C850" s="6">
        <v>155</v>
      </c>
      <c r="D850" s="13" t="s">
        <v>30</v>
      </c>
      <c r="E850" s="14">
        <v>45217</v>
      </c>
      <c r="F850" s="6">
        <v>72</v>
      </c>
      <c r="G850" s="24">
        <v>4.7</v>
      </c>
      <c r="H850">
        <f>IF(MONTH(Table13[[#This Row],[Date of Call]])&lt;6, YEAR(Table13[[#This Row],[Date of Call]]),YEAR(Table13[[#This Row],[Date of Call]])+1)</f>
        <v>2024</v>
      </c>
      <c r="I850" t="str">
        <f>TEXT(Table13[[#This Row],[Date of Call]],"dddd")</f>
        <v>Wednesday</v>
      </c>
      <c r="J8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50">
        <f>ROUND(Table13[[#This Row],[Satisfaction Rating]],0)</f>
        <v>5</v>
      </c>
    </row>
    <row r="851" spans="1:11" x14ac:dyDescent="0.3">
      <c r="A851" s="23" t="s">
        <v>892</v>
      </c>
      <c r="B851" s="6" t="s">
        <v>17</v>
      </c>
      <c r="C851" s="6">
        <v>173</v>
      </c>
      <c r="D851" s="13" t="s">
        <v>28</v>
      </c>
      <c r="E851" s="14">
        <v>45217</v>
      </c>
      <c r="F851" s="6">
        <v>160</v>
      </c>
      <c r="G851" s="24">
        <v>2.8</v>
      </c>
      <c r="H851">
        <f>IF(MONTH(Table13[[#This Row],[Date of Call]])&lt;6, YEAR(Table13[[#This Row],[Date of Call]]),YEAR(Table13[[#This Row],[Date of Call]])+1)</f>
        <v>2024</v>
      </c>
      <c r="I851" t="str">
        <f>TEXT(Table13[[#This Row],[Date of Call]],"dddd")</f>
        <v>Wednesday</v>
      </c>
      <c r="J8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51">
        <f>ROUND(Table13[[#This Row],[Satisfaction Rating]],0)</f>
        <v>3</v>
      </c>
    </row>
    <row r="852" spans="1:11" x14ac:dyDescent="0.3">
      <c r="A852" s="23" t="s">
        <v>893</v>
      </c>
      <c r="B852" s="6" t="s">
        <v>13</v>
      </c>
      <c r="C852" s="6">
        <v>127</v>
      </c>
      <c r="D852" s="13" t="s">
        <v>30</v>
      </c>
      <c r="E852" s="14">
        <v>45217</v>
      </c>
      <c r="F852" s="6">
        <v>165</v>
      </c>
      <c r="G852" s="24">
        <v>2.5</v>
      </c>
      <c r="H852">
        <f>IF(MONTH(Table13[[#This Row],[Date of Call]])&lt;6, YEAR(Table13[[#This Row],[Date of Call]]),YEAR(Table13[[#This Row],[Date of Call]])+1)</f>
        <v>2024</v>
      </c>
      <c r="I852" t="str">
        <f>TEXT(Table13[[#This Row],[Date of Call]],"dddd")</f>
        <v>Wednesday</v>
      </c>
      <c r="J8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52">
        <f>ROUND(Table13[[#This Row],[Satisfaction Rating]],0)</f>
        <v>3</v>
      </c>
    </row>
    <row r="853" spans="1:11" x14ac:dyDescent="0.3">
      <c r="A853" s="23" t="s">
        <v>894</v>
      </c>
      <c r="B853" s="6" t="s">
        <v>7</v>
      </c>
      <c r="C853" s="6">
        <v>117</v>
      </c>
      <c r="D853" s="13" t="s">
        <v>28</v>
      </c>
      <c r="E853" s="14">
        <v>45217</v>
      </c>
      <c r="F853" s="6">
        <v>120</v>
      </c>
      <c r="G853" s="24">
        <v>3.4</v>
      </c>
      <c r="H853">
        <f>IF(MONTH(Table13[[#This Row],[Date of Call]])&lt;6, YEAR(Table13[[#This Row],[Date of Call]]),YEAR(Table13[[#This Row],[Date of Call]])+1)</f>
        <v>2024</v>
      </c>
      <c r="I853" t="str">
        <f>TEXT(Table13[[#This Row],[Date of Call]],"dddd")</f>
        <v>Wednesday</v>
      </c>
      <c r="J8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53">
        <f>ROUND(Table13[[#This Row],[Satisfaction Rating]],0)</f>
        <v>3</v>
      </c>
    </row>
    <row r="854" spans="1:11" x14ac:dyDescent="0.3">
      <c r="A854" s="23" t="s">
        <v>895</v>
      </c>
      <c r="B854" s="6" t="s">
        <v>6</v>
      </c>
      <c r="C854" s="6">
        <v>133</v>
      </c>
      <c r="D854" s="13" t="s">
        <v>29</v>
      </c>
      <c r="E854" s="14">
        <v>45217</v>
      </c>
      <c r="F854" s="6">
        <v>117</v>
      </c>
      <c r="G854" s="24">
        <v>4.8</v>
      </c>
      <c r="H854">
        <f>IF(MONTH(Table13[[#This Row],[Date of Call]])&lt;6, YEAR(Table13[[#This Row],[Date of Call]]),YEAR(Table13[[#This Row],[Date of Call]])+1)</f>
        <v>2024</v>
      </c>
      <c r="I854" t="str">
        <f>TEXT(Table13[[#This Row],[Date of Call]],"dddd")</f>
        <v>Wednesday</v>
      </c>
      <c r="J8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54">
        <f>ROUND(Table13[[#This Row],[Satisfaction Rating]],0)</f>
        <v>5</v>
      </c>
    </row>
    <row r="855" spans="1:11" x14ac:dyDescent="0.3">
      <c r="A855" s="23" t="s">
        <v>896</v>
      </c>
      <c r="B855" s="6" t="s">
        <v>5</v>
      </c>
      <c r="C855" s="6">
        <v>166</v>
      </c>
      <c r="D855" s="13" t="s">
        <v>31</v>
      </c>
      <c r="E855" s="14">
        <v>45218</v>
      </c>
      <c r="F855" s="6">
        <v>29</v>
      </c>
      <c r="G855" s="24">
        <v>4.3</v>
      </c>
      <c r="H855">
        <f>IF(MONTH(Table13[[#This Row],[Date of Call]])&lt;6, YEAR(Table13[[#This Row],[Date of Call]]),YEAR(Table13[[#This Row],[Date of Call]])+1)</f>
        <v>2024</v>
      </c>
      <c r="I855" t="str">
        <f>TEXT(Table13[[#This Row],[Date of Call]],"dddd")</f>
        <v>Thursday</v>
      </c>
      <c r="J8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55">
        <f>ROUND(Table13[[#This Row],[Satisfaction Rating]],0)</f>
        <v>4</v>
      </c>
    </row>
    <row r="856" spans="1:11" x14ac:dyDescent="0.3">
      <c r="A856" s="23" t="s">
        <v>897</v>
      </c>
      <c r="B856" s="6" t="s">
        <v>6</v>
      </c>
      <c r="C856" s="6">
        <v>50</v>
      </c>
      <c r="D856" s="13" t="s">
        <v>28</v>
      </c>
      <c r="E856" s="14">
        <v>45218</v>
      </c>
      <c r="F856" s="6">
        <v>64</v>
      </c>
      <c r="G856" s="24">
        <v>4.5</v>
      </c>
      <c r="H856">
        <f>IF(MONTH(Table13[[#This Row],[Date of Call]])&lt;6, YEAR(Table13[[#This Row],[Date of Call]]),YEAR(Table13[[#This Row],[Date of Call]])+1)</f>
        <v>2024</v>
      </c>
      <c r="I856" t="str">
        <f>TEXT(Table13[[#This Row],[Date of Call]],"dddd")</f>
        <v>Thursday</v>
      </c>
      <c r="J8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56">
        <f>ROUND(Table13[[#This Row],[Satisfaction Rating]],0)</f>
        <v>5</v>
      </c>
    </row>
    <row r="857" spans="1:11" x14ac:dyDescent="0.3">
      <c r="A857" s="23" t="s">
        <v>898</v>
      </c>
      <c r="B857" s="6" t="s">
        <v>18</v>
      </c>
      <c r="C857" s="6">
        <v>43</v>
      </c>
      <c r="D857" s="13" t="s">
        <v>29</v>
      </c>
      <c r="E857" s="14">
        <v>45218</v>
      </c>
      <c r="F857" s="6">
        <v>84</v>
      </c>
      <c r="G857" s="24">
        <v>3.6</v>
      </c>
      <c r="H857">
        <f>IF(MONTH(Table13[[#This Row],[Date of Call]])&lt;6, YEAR(Table13[[#This Row],[Date of Call]]),YEAR(Table13[[#This Row],[Date of Call]])+1)</f>
        <v>2024</v>
      </c>
      <c r="I857" t="str">
        <f>TEXT(Table13[[#This Row],[Date of Call]],"dddd")</f>
        <v>Thursday</v>
      </c>
      <c r="J8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57">
        <f>ROUND(Table13[[#This Row],[Satisfaction Rating]],0)</f>
        <v>4</v>
      </c>
    </row>
    <row r="858" spans="1:11" x14ac:dyDescent="0.3">
      <c r="A858" s="23" t="s">
        <v>899</v>
      </c>
      <c r="B858" s="6" t="s">
        <v>16</v>
      </c>
      <c r="C858" s="6">
        <v>124</v>
      </c>
      <c r="D858" s="13" t="s">
        <v>30</v>
      </c>
      <c r="E858" s="14">
        <v>45218</v>
      </c>
      <c r="F858" s="6">
        <v>42</v>
      </c>
      <c r="G858" s="24">
        <v>3.7</v>
      </c>
      <c r="H858">
        <f>IF(MONTH(Table13[[#This Row],[Date of Call]])&lt;6, YEAR(Table13[[#This Row],[Date of Call]]),YEAR(Table13[[#This Row],[Date of Call]])+1)</f>
        <v>2024</v>
      </c>
      <c r="I858" t="str">
        <f>TEXT(Table13[[#This Row],[Date of Call]],"dddd")</f>
        <v>Thursday</v>
      </c>
      <c r="J8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58">
        <f>ROUND(Table13[[#This Row],[Satisfaction Rating]],0)</f>
        <v>4</v>
      </c>
    </row>
    <row r="859" spans="1:11" x14ac:dyDescent="0.3">
      <c r="A859" s="23" t="s">
        <v>900</v>
      </c>
      <c r="B859" s="6" t="s">
        <v>17</v>
      </c>
      <c r="C859" s="6">
        <v>94</v>
      </c>
      <c r="D859" s="13" t="s">
        <v>30</v>
      </c>
      <c r="E859" s="14">
        <v>45218</v>
      </c>
      <c r="F859" s="6">
        <v>120</v>
      </c>
      <c r="G859" s="24">
        <v>3.5</v>
      </c>
      <c r="H859">
        <f>IF(MONTH(Table13[[#This Row],[Date of Call]])&lt;6, YEAR(Table13[[#This Row],[Date of Call]]),YEAR(Table13[[#This Row],[Date of Call]])+1)</f>
        <v>2024</v>
      </c>
      <c r="I859" t="str">
        <f>TEXT(Table13[[#This Row],[Date of Call]],"dddd")</f>
        <v>Thursday</v>
      </c>
      <c r="J8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59">
        <f>ROUND(Table13[[#This Row],[Satisfaction Rating]],0)</f>
        <v>4</v>
      </c>
    </row>
    <row r="860" spans="1:11" x14ac:dyDescent="0.3">
      <c r="A860" s="23" t="s">
        <v>901</v>
      </c>
      <c r="B860" s="6" t="s">
        <v>18</v>
      </c>
      <c r="C860" s="6">
        <v>126</v>
      </c>
      <c r="D860" s="13" t="s">
        <v>31</v>
      </c>
      <c r="E860" s="14">
        <v>45219</v>
      </c>
      <c r="F860" s="6">
        <v>80</v>
      </c>
      <c r="G860" s="24">
        <v>4.7</v>
      </c>
      <c r="H860">
        <f>IF(MONTH(Table13[[#This Row],[Date of Call]])&lt;6, YEAR(Table13[[#This Row],[Date of Call]]),YEAR(Table13[[#This Row],[Date of Call]])+1)</f>
        <v>2024</v>
      </c>
      <c r="I860" t="str">
        <f>TEXT(Table13[[#This Row],[Date of Call]],"dddd")</f>
        <v>Friday</v>
      </c>
      <c r="J8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60">
        <f>ROUND(Table13[[#This Row],[Satisfaction Rating]],0)</f>
        <v>5</v>
      </c>
    </row>
    <row r="861" spans="1:11" x14ac:dyDescent="0.3">
      <c r="A861" s="23" t="s">
        <v>902</v>
      </c>
      <c r="B861" s="6" t="s">
        <v>5</v>
      </c>
      <c r="C861" s="6">
        <v>105</v>
      </c>
      <c r="D861" s="13" t="s">
        <v>28</v>
      </c>
      <c r="E861" s="14">
        <v>45219</v>
      </c>
      <c r="F861" s="6">
        <v>185</v>
      </c>
      <c r="G861" s="24">
        <v>3.5</v>
      </c>
      <c r="H861">
        <f>IF(MONTH(Table13[[#This Row],[Date of Call]])&lt;6, YEAR(Table13[[#This Row],[Date of Call]]),YEAR(Table13[[#This Row],[Date of Call]])+1)</f>
        <v>2024</v>
      </c>
      <c r="I861" t="str">
        <f>TEXT(Table13[[#This Row],[Date of Call]],"dddd")</f>
        <v>Friday</v>
      </c>
      <c r="J8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61">
        <f>ROUND(Table13[[#This Row],[Satisfaction Rating]],0)</f>
        <v>4</v>
      </c>
    </row>
    <row r="862" spans="1:11" x14ac:dyDescent="0.3">
      <c r="A862" s="23" t="s">
        <v>903</v>
      </c>
      <c r="B862" s="6" t="s">
        <v>14</v>
      </c>
      <c r="C862" s="6">
        <v>60</v>
      </c>
      <c r="D862" s="13" t="s">
        <v>32</v>
      </c>
      <c r="E862" s="14">
        <v>45220</v>
      </c>
      <c r="F862" s="6">
        <v>135</v>
      </c>
      <c r="G862" s="24">
        <v>3.9</v>
      </c>
      <c r="H862">
        <f>IF(MONTH(Table13[[#This Row],[Date of Call]])&lt;6, YEAR(Table13[[#This Row],[Date of Call]]),YEAR(Table13[[#This Row],[Date of Call]])+1)</f>
        <v>2024</v>
      </c>
      <c r="I862" t="str">
        <f>TEXT(Table13[[#This Row],[Date of Call]],"dddd")</f>
        <v>Saturday</v>
      </c>
      <c r="J8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62">
        <f>ROUND(Table13[[#This Row],[Satisfaction Rating]],0)</f>
        <v>4</v>
      </c>
    </row>
    <row r="863" spans="1:11" x14ac:dyDescent="0.3">
      <c r="A863" s="23" t="s">
        <v>904</v>
      </c>
      <c r="B863" s="6" t="s">
        <v>14</v>
      </c>
      <c r="C863" s="6">
        <v>72</v>
      </c>
      <c r="D863" s="13" t="s">
        <v>28</v>
      </c>
      <c r="E863" s="14">
        <v>45220</v>
      </c>
      <c r="F863" s="6">
        <v>20</v>
      </c>
      <c r="G863" s="24">
        <v>4.8</v>
      </c>
      <c r="H863">
        <f>IF(MONTH(Table13[[#This Row],[Date of Call]])&lt;6, YEAR(Table13[[#This Row],[Date of Call]]),YEAR(Table13[[#This Row],[Date of Call]])+1)</f>
        <v>2024</v>
      </c>
      <c r="I863" t="str">
        <f>TEXT(Table13[[#This Row],[Date of Call]],"dddd")</f>
        <v>Saturday</v>
      </c>
      <c r="J8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63">
        <f>ROUND(Table13[[#This Row],[Satisfaction Rating]],0)</f>
        <v>5</v>
      </c>
    </row>
    <row r="864" spans="1:11" x14ac:dyDescent="0.3">
      <c r="A864" s="23" t="s">
        <v>905</v>
      </c>
      <c r="B864" s="6" t="s">
        <v>15</v>
      </c>
      <c r="C864" s="6">
        <v>40</v>
      </c>
      <c r="D864" s="13" t="s">
        <v>28</v>
      </c>
      <c r="E864" s="14">
        <v>45220</v>
      </c>
      <c r="F864" s="6">
        <v>31</v>
      </c>
      <c r="G864" s="24">
        <v>4</v>
      </c>
      <c r="H864">
        <f>IF(MONTH(Table13[[#This Row],[Date of Call]])&lt;6, YEAR(Table13[[#This Row],[Date of Call]]),YEAR(Table13[[#This Row],[Date of Call]])+1)</f>
        <v>2024</v>
      </c>
      <c r="I864" t="str">
        <f>TEXT(Table13[[#This Row],[Date of Call]],"dddd")</f>
        <v>Saturday</v>
      </c>
      <c r="J8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64">
        <f>ROUND(Table13[[#This Row],[Satisfaction Rating]],0)</f>
        <v>4</v>
      </c>
    </row>
    <row r="865" spans="1:11" x14ac:dyDescent="0.3">
      <c r="A865" s="23" t="s">
        <v>906</v>
      </c>
      <c r="B865" s="6" t="s">
        <v>11</v>
      </c>
      <c r="C865" s="6">
        <v>54</v>
      </c>
      <c r="D865" s="13" t="s">
        <v>31</v>
      </c>
      <c r="E865" s="14">
        <v>45221</v>
      </c>
      <c r="F865" s="6">
        <v>120</v>
      </c>
      <c r="G865" s="24">
        <v>4.7</v>
      </c>
      <c r="H865">
        <f>IF(MONTH(Table13[[#This Row],[Date of Call]])&lt;6, YEAR(Table13[[#This Row],[Date of Call]]),YEAR(Table13[[#This Row],[Date of Call]])+1)</f>
        <v>2024</v>
      </c>
      <c r="I865" t="str">
        <f>TEXT(Table13[[#This Row],[Date of Call]],"dddd")</f>
        <v>Sunday</v>
      </c>
      <c r="J8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65">
        <f>ROUND(Table13[[#This Row],[Satisfaction Rating]],0)</f>
        <v>5</v>
      </c>
    </row>
    <row r="866" spans="1:11" x14ac:dyDescent="0.3">
      <c r="A866" s="23" t="s">
        <v>907</v>
      </c>
      <c r="B866" s="6" t="s">
        <v>7</v>
      </c>
      <c r="C866" s="6">
        <v>81</v>
      </c>
      <c r="D866" s="13" t="s">
        <v>29</v>
      </c>
      <c r="E866" s="14">
        <v>45221</v>
      </c>
      <c r="F866" s="6">
        <v>117</v>
      </c>
      <c r="G866" s="24">
        <v>3.6</v>
      </c>
      <c r="H866">
        <f>IF(MONTH(Table13[[#This Row],[Date of Call]])&lt;6, YEAR(Table13[[#This Row],[Date of Call]]),YEAR(Table13[[#This Row],[Date of Call]])+1)</f>
        <v>2024</v>
      </c>
      <c r="I866" t="str">
        <f>TEXT(Table13[[#This Row],[Date of Call]],"dddd")</f>
        <v>Sunday</v>
      </c>
      <c r="J8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66">
        <f>ROUND(Table13[[#This Row],[Satisfaction Rating]],0)</f>
        <v>4</v>
      </c>
    </row>
    <row r="867" spans="1:11" x14ac:dyDescent="0.3">
      <c r="A867" s="23" t="s">
        <v>908</v>
      </c>
      <c r="B867" s="6" t="s">
        <v>11</v>
      </c>
      <c r="C867" s="6">
        <v>76</v>
      </c>
      <c r="D867" s="13" t="s">
        <v>30</v>
      </c>
      <c r="E867" s="14">
        <v>45221</v>
      </c>
      <c r="F867" s="6">
        <v>80</v>
      </c>
      <c r="G867" s="24">
        <v>4.5</v>
      </c>
      <c r="H867">
        <f>IF(MONTH(Table13[[#This Row],[Date of Call]])&lt;6, YEAR(Table13[[#This Row],[Date of Call]]),YEAR(Table13[[#This Row],[Date of Call]])+1)</f>
        <v>2024</v>
      </c>
      <c r="I867" t="str">
        <f>TEXT(Table13[[#This Row],[Date of Call]],"dddd")</f>
        <v>Sunday</v>
      </c>
      <c r="J8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67">
        <f>ROUND(Table13[[#This Row],[Satisfaction Rating]],0)</f>
        <v>5</v>
      </c>
    </row>
    <row r="868" spans="1:11" x14ac:dyDescent="0.3">
      <c r="A868" s="23" t="s">
        <v>909</v>
      </c>
      <c r="B868" s="6" t="s">
        <v>11</v>
      </c>
      <c r="C868" s="6">
        <v>37</v>
      </c>
      <c r="D868" s="13" t="s">
        <v>32</v>
      </c>
      <c r="E868" s="14">
        <v>45222</v>
      </c>
      <c r="F868" s="6">
        <v>117</v>
      </c>
      <c r="G868" s="24">
        <v>4</v>
      </c>
      <c r="H868">
        <f>IF(MONTH(Table13[[#This Row],[Date of Call]])&lt;6, YEAR(Table13[[#This Row],[Date of Call]]),YEAR(Table13[[#This Row],[Date of Call]])+1)</f>
        <v>2024</v>
      </c>
      <c r="I868" t="str">
        <f>TEXT(Table13[[#This Row],[Date of Call]],"dddd")</f>
        <v>Monday</v>
      </c>
      <c r="J8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68">
        <f>ROUND(Table13[[#This Row],[Satisfaction Rating]],0)</f>
        <v>4</v>
      </c>
    </row>
    <row r="869" spans="1:11" x14ac:dyDescent="0.3">
      <c r="A869" s="23" t="s">
        <v>910</v>
      </c>
      <c r="B869" s="6" t="s">
        <v>5</v>
      </c>
      <c r="C869" s="6">
        <v>96</v>
      </c>
      <c r="D869" s="13" t="s">
        <v>31</v>
      </c>
      <c r="E869" s="14">
        <v>45222</v>
      </c>
      <c r="F869" s="6">
        <v>60</v>
      </c>
      <c r="G869" s="24">
        <v>4.5</v>
      </c>
      <c r="H869">
        <f>IF(MONTH(Table13[[#This Row],[Date of Call]])&lt;6, YEAR(Table13[[#This Row],[Date of Call]]),YEAR(Table13[[#This Row],[Date of Call]])+1)</f>
        <v>2024</v>
      </c>
      <c r="I869" t="str">
        <f>TEXT(Table13[[#This Row],[Date of Call]],"dddd")</f>
        <v>Monday</v>
      </c>
      <c r="J8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69">
        <f>ROUND(Table13[[#This Row],[Satisfaction Rating]],0)</f>
        <v>5</v>
      </c>
    </row>
    <row r="870" spans="1:11" x14ac:dyDescent="0.3">
      <c r="A870" s="23" t="s">
        <v>911</v>
      </c>
      <c r="B870" s="6" t="s">
        <v>14</v>
      </c>
      <c r="C870" s="6">
        <v>19</v>
      </c>
      <c r="D870" s="13" t="s">
        <v>30</v>
      </c>
      <c r="E870" s="14">
        <v>45223</v>
      </c>
      <c r="F870" s="6">
        <v>58</v>
      </c>
      <c r="G870" s="24">
        <v>3.9</v>
      </c>
      <c r="H870">
        <f>IF(MONTH(Table13[[#This Row],[Date of Call]])&lt;6, YEAR(Table13[[#This Row],[Date of Call]]),YEAR(Table13[[#This Row],[Date of Call]])+1)</f>
        <v>2024</v>
      </c>
      <c r="I870" t="str">
        <f>TEXT(Table13[[#This Row],[Date of Call]],"dddd")</f>
        <v>Tuesday</v>
      </c>
      <c r="J8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870">
        <f>ROUND(Table13[[#This Row],[Satisfaction Rating]],0)</f>
        <v>4</v>
      </c>
    </row>
    <row r="871" spans="1:11" x14ac:dyDescent="0.3">
      <c r="A871" s="23" t="s">
        <v>912</v>
      </c>
      <c r="B871" s="6" t="s">
        <v>15</v>
      </c>
      <c r="C871" s="6">
        <v>72</v>
      </c>
      <c r="D871" s="13" t="s">
        <v>32</v>
      </c>
      <c r="E871" s="14">
        <v>45223</v>
      </c>
      <c r="F871" s="6">
        <v>41</v>
      </c>
      <c r="G871" s="24">
        <v>4.3</v>
      </c>
      <c r="H871">
        <f>IF(MONTH(Table13[[#This Row],[Date of Call]])&lt;6, YEAR(Table13[[#This Row],[Date of Call]]),YEAR(Table13[[#This Row],[Date of Call]])+1)</f>
        <v>2024</v>
      </c>
      <c r="I871" t="str">
        <f>TEXT(Table13[[#This Row],[Date of Call]],"dddd")</f>
        <v>Tuesday</v>
      </c>
      <c r="J8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1">
        <f>ROUND(Table13[[#This Row],[Satisfaction Rating]],0)</f>
        <v>4</v>
      </c>
    </row>
    <row r="872" spans="1:11" x14ac:dyDescent="0.3">
      <c r="A872" s="23" t="s">
        <v>913</v>
      </c>
      <c r="B872" s="6" t="s">
        <v>17</v>
      </c>
      <c r="C872" s="6">
        <v>73</v>
      </c>
      <c r="D872" s="13" t="s">
        <v>29</v>
      </c>
      <c r="E872" s="14">
        <v>45223</v>
      </c>
      <c r="F872" s="6">
        <v>180</v>
      </c>
      <c r="G872" s="24">
        <v>3.6</v>
      </c>
      <c r="H872">
        <f>IF(MONTH(Table13[[#This Row],[Date of Call]])&lt;6, YEAR(Table13[[#This Row],[Date of Call]]),YEAR(Table13[[#This Row],[Date of Call]])+1)</f>
        <v>2024</v>
      </c>
      <c r="I872" t="str">
        <f>TEXT(Table13[[#This Row],[Date of Call]],"dddd")</f>
        <v>Tuesday</v>
      </c>
      <c r="J8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2">
        <f>ROUND(Table13[[#This Row],[Satisfaction Rating]],0)</f>
        <v>4</v>
      </c>
    </row>
    <row r="873" spans="1:11" x14ac:dyDescent="0.3">
      <c r="A873" s="23" t="s">
        <v>914</v>
      </c>
      <c r="B873" s="6" t="s">
        <v>4</v>
      </c>
      <c r="C873" s="6">
        <v>87</v>
      </c>
      <c r="D873" s="13" t="s">
        <v>29</v>
      </c>
      <c r="E873" s="14">
        <v>45223</v>
      </c>
      <c r="F873" s="6">
        <v>42</v>
      </c>
      <c r="G873" s="24">
        <v>3.6</v>
      </c>
      <c r="H873">
        <f>IF(MONTH(Table13[[#This Row],[Date of Call]])&lt;6, YEAR(Table13[[#This Row],[Date of Call]]),YEAR(Table13[[#This Row],[Date of Call]])+1)</f>
        <v>2024</v>
      </c>
      <c r="I873" t="str">
        <f>TEXT(Table13[[#This Row],[Date of Call]],"dddd")</f>
        <v>Tuesday</v>
      </c>
      <c r="J8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3">
        <f>ROUND(Table13[[#This Row],[Satisfaction Rating]],0)</f>
        <v>4</v>
      </c>
    </row>
    <row r="874" spans="1:11" x14ac:dyDescent="0.3">
      <c r="A874" s="23" t="s">
        <v>915</v>
      </c>
      <c r="B874" s="6" t="s">
        <v>4</v>
      </c>
      <c r="C874" s="6">
        <v>68</v>
      </c>
      <c r="D874" s="13" t="s">
        <v>29</v>
      </c>
      <c r="E874" s="14">
        <v>45224</v>
      </c>
      <c r="F874" s="6">
        <v>24</v>
      </c>
      <c r="G874" s="24">
        <v>4</v>
      </c>
      <c r="H874">
        <f>IF(MONTH(Table13[[#This Row],[Date of Call]])&lt;6, YEAR(Table13[[#This Row],[Date of Call]]),YEAR(Table13[[#This Row],[Date of Call]])+1)</f>
        <v>2024</v>
      </c>
      <c r="I874" t="str">
        <f>TEXT(Table13[[#This Row],[Date of Call]],"dddd")</f>
        <v>Wednesday</v>
      </c>
      <c r="J8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4">
        <f>ROUND(Table13[[#This Row],[Satisfaction Rating]],0)</f>
        <v>4</v>
      </c>
    </row>
    <row r="875" spans="1:11" x14ac:dyDescent="0.3">
      <c r="A875" s="23" t="s">
        <v>916</v>
      </c>
      <c r="B875" s="6" t="s">
        <v>15</v>
      </c>
      <c r="C875" s="6">
        <v>101</v>
      </c>
      <c r="D875" s="13" t="s">
        <v>29</v>
      </c>
      <c r="E875" s="14">
        <v>45224</v>
      </c>
      <c r="F875" s="6">
        <v>125</v>
      </c>
      <c r="G875" s="24">
        <v>4.2</v>
      </c>
      <c r="H875">
        <f>IF(MONTH(Table13[[#This Row],[Date of Call]])&lt;6, YEAR(Table13[[#This Row],[Date of Call]]),YEAR(Table13[[#This Row],[Date of Call]])+1)</f>
        <v>2024</v>
      </c>
      <c r="I875" t="str">
        <f>TEXT(Table13[[#This Row],[Date of Call]],"dddd")</f>
        <v>Wednesday</v>
      </c>
      <c r="J8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5">
        <f>ROUND(Table13[[#This Row],[Satisfaction Rating]],0)</f>
        <v>4</v>
      </c>
    </row>
    <row r="876" spans="1:11" x14ac:dyDescent="0.3">
      <c r="A876" s="23" t="s">
        <v>917</v>
      </c>
      <c r="B876" s="6" t="s">
        <v>15</v>
      </c>
      <c r="C876" s="6">
        <v>107</v>
      </c>
      <c r="D876" s="13" t="s">
        <v>32</v>
      </c>
      <c r="E876" s="14">
        <v>45225</v>
      </c>
      <c r="F876" s="6">
        <v>78</v>
      </c>
      <c r="G876" s="24">
        <v>4.3</v>
      </c>
      <c r="H876">
        <f>IF(MONTH(Table13[[#This Row],[Date of Call]])&lt;6, YEAR(Table13[[#This Row],[Date of Call]]),YEAR(Table13[[#This Row],[Date of Call]])+1)</f>
        <v>2024</v>
      </c>
      <c r="I876" t="str">
        <f>TEXT(Table13[[#This Row],[Date of Call]],"dddd")</f>
        <v>Thursday</v>
      </c>
      <c r="J8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6">
        <f>ROUND(Table13[[#This Row],[Satisfaction Rating]],0)</f>
        <v>4</v>
      </c>
    </row>
    <row r="877" spans="1:11" x14ac:dyDescent="0.3">
      <c r="A877" s="23" t="s">
        <v>918</v>
      </c>
      <c r="B877" s="6" t="s">
        <v>12</v>
      </c>
      <c r="C877" s="6">
        <v>109</v>
      </c>
      <c r="D877" s="13" t="s">
        <v>28</v>
      </c>
      <c r="E877" s="14">
        <v>45225</v>
      </c>
      <c r="F877" s="6">
        <v>180</v>
      </c>
      <c r="G877" s="24">
        <v>3.8</v>
      </c>
      <c r="H877">
        <f>IF(MONTH(Table13[[#This Row],[Date of Call]])&lt;6, YEAR(Table13[[#This Row],[Date of Call]]),YEAR(Table13[[#This Row],[Date of Call]])+1)</f>
        <v>2024</v>
      </c>
      <c r="I877" t="str">
        <f>TEXT(Table13[[#This Row],[Date of Call]],"dddd")</f>
        <v>Thursday</v>
      </c>
      <c r="J8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77">
        <f>ROUND(Table13[[#This Row],[Satisfaction Rating]],0)</f>
        <v>4</v>
      </c>
    </row>
    <row r="878" spans="1:11" x14ac:dyDescent="0.3">
      <c r="A878" s="23" t="s">
        <v>919</v>
      </c>
      <c r="B878" s="6" t="s">
        <v>16</v>
      </c>
      <c r="C878" s="6">
        <v>171</v>
      </c>
      <c r="D878" s="13" t="s">
        <v>32</v>
      </c>
      <c r="E878" s="14">
        <v>45225</v>
      </c>
      <c r="F878" s="6">
        <v>84</v>
      </c>
      <c r="G878" s="24">
        <v>4.4000000000000004</v>
      </c>
      <c r="H878">
        <f>IF(MONTH(Table13[[#This Row],[Date of Call]])&lt;6, YEAR(Table13[[#This Row],[Date of Call]]),YEAR(Table13[[#This Row],[Date of Call]])+1)</f>
        <v>2024</v>
      </c>
      <c r="I878" t="str">
        <f>TEXT(Table13[[#This Row],[Date of Call]],"dddd")</f>
        <v>Thursday</v>
      </c>
      <c r="J8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78">
        <f>ROUND(Table13[[#This Row],[Satisfaction Rating]],0)</f>
        <v>4</v>
      </c>
    </row>
    <row r="879" spans="1:11" x14ac:dyDescent="0.3">
      <c r="A879" s="23" t="s">
        <v>920</v>
      </c>
      <c r="B879" s="6" t="s">
        <v>14</v>
      </c>
      <c r="C879" s="6">
        <v>21</v>
      </c>
      <c r="D879" s="13" t="s">
        <v>32</v>
      </c>
      <c r="E879" s="14">
        <v>45225</v>
      </c>
      <c r="F879" s="6">
        <v>26</v>
      </c>
      <c r="G879" s="24">
        <v>4.7</v>
      </c>
      <c r="H879">
        <f>IF(MONTH(Table13[[#This Row],[Date of Call]])&lt;6, YEAR(Table13[[#This Row],[Date of Call]]),YEAR(Table13[[#This Row],[Date of Call]])+1)</f>
        <v>2024</v>
      </c>
      <c r="I879" t="str">
        <f>TEXT(Table13[[#This Row],[Date of Call]],"dddd")</f>
        <v>Thursday</v>
      </c>
      <c r="J8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879">
        <f>ROUND(Table13[[#This Row],[Satisfaction Rating]],0)</f>
        <v>5</v>
      </c>
    </row>
    <row r="880" spans="1:11" x14ac:dyDescent="0.3">
      <c r="A880" s="23" t="s">
        <v>921</v>
      </c>
      <c r="B880" s="6" t="s">
        <v>7</v>
      </c>
      <c r="C880" s="6">
        <v>94</v>
      </c>
      <c r="D880" s="13" t="s">
        <v>32</v>
      </c>
      <c r="E880" s="14">
        <v>45226</v>
      </c>
      <c r="F880" s="6">
        <v>140</v>
      </c>
      <c r="G880" s="24">
        <v>3.6</v>
      </c>
      <c r="H880">
        <f>IF(MONTH(Table13[[#This Row],[Date of Call]])&lt;6, YEAR(Table13[[#This Row],[Date of Call]]),YEAR(Table13[[#This Row],[Date of Call]])+1)</f>
        <v>2024</v>
      </c>
      <c r="I880" t="str">
        <f>TEXT(Table13[[#This Row],[Date of Call]],"dddd")</f>
        <v>Friday</v>
      </c>
      <c r="J8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0">
        <f>ROUND(Table13[[#This Row],[Satisfaction Rating]],0)</f>
        <v>4</v>
      </c>
    </row>
    <row r="881" spans="1:11" x14ac:dyDescent="0.3">
      <c r="A881" s="23" t="s">
        <v>922</v>
      </c>
      <c r="B881" s="6" t="s">
        <v>17</v>
      </c>
      <c r="C881" s="6">
        <v>97</v>
      </c>
      <c r="D881" s="13" t="s">
        <v>28</v>
      </c>
      <c r="E881" s="14">
        <v>45226</v>
      </c>
      <c r="F881" s="6">
        <v>31</v>
      </c>
      <c r="G881" s="24">
        <v>2.2000000000000002</v>
      </c>
      <c r="H881">
        <f>IF(MONTH(Table13[[#This Row],[Date of Call]])&lt;6, YEAR(Table13[[#This Row],[Date of Call]]),YEAR(Table13[[#This Row],[Date of Call]])+1)</f>
        <v>2024</v>
      </c>
      <c r="I881" t="str">
        <f>TEXT(Table13[[#This Row],[Date of Call]],"dddd")</f>
        <v>Friday</v>
      </c>
      <c r="J8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1">
        <f>ROUND(Table13[[#This Row],[Satisfaction Rating]],0)</f>
        <v>2</v>
      </c>
    </row>
    <row r="882" spans="1:11" x14ac:dyDescent="0.3">
      <c r="A882" s="23" t="s">
        <v>923</v>
      </c>
      <c r="B882" s="6" t="s">
        <v>5</v>
      </c>
      <c r="C882" s="6">
        <v>72</v>
      </c>
      <c r="D882" s="13" t="s">
        <v>28</v>
      </c>
      <c r="E882" s="14">
        <v>45226</v>
      </c>
      <c r="F882" s="6">
        <v>108</v>
      </c>
      <c r="G882" s="24">
        <v>4.8</v>
      </c>
      <c r="H882">
        <f>IF(MONTH(Table13[[#This Row],[Date of Call]])&lt;6, YEAR(Table13[[#This Row],[Date of Call]]),YEAR(Table13[[#This Row],[Date of Call]])+1)</f>
        <v>2024</v>
      </c>
      <c r="I882" t="str">
        <f>TEXT(Table13[[#This Row],[Date of Call]],"dddd")</f>
        <v>Friday</v>
      </c>
      <c r="J8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2">
        <f>ROUND(Table13[[#This Row],[Satisfaction Rating]],0)</f>
        <v>5</v>
      </c>
    </row>
    <row r="883" spans="1:11" x14ac:dyDescent="0.3">
      <c r="A883" s="23" t="s">
        <v>924</v>
      </c>
      <c r="B883" s="6" t="s">
        <v>16</v>
      </c>
      <c r="C883" s="6">
        <v>143</v>
      </c>
      <c r="D883" s="13" t="s">
        <v>31</v>
      </c>
      <c r="E883" s="14">
        <v>45227</v>
      </c>
      <c r="F883" s="6">
        <v>58</v>
      </c>
      <c r="G883" s="24">
        <v>4.3</v>
      </c>
      <c r="H883">
        <f>IF(MONTH(Table13[[#This Row],[Date of Call]])&lt;6, YEAR(Table13[[#This Row],[Date of Call]]),YEAR(Table13[[#This Row],[Date of Call]])+1)</f>
        <v>2024</v>
      </c>
      <c r="I883" t="str">
        <f>TEXT(Table13[[#This Row],[Date of Call]],"dddd")</f>
        <v>Saturday</v>
      </c>
      <c r="J8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83">
        <f>ROUND(Table13[[#This Row],[Satisfaction Rating]],0)</f>
        <v>4</v>
      </c>
    </row>
    <row r="884" spans="1:11" x14ac:dyDescent="0.3">
      <c r="A884" s="23" t="s">
        <v>925</v>
      </c>
      <c r="B884" s="6" t="s">
        <v>16</v>
      </c>
      <c r="C884" s="6">
        <v>64</v>
      </c>
      <c r="D884" s="13" t="s">
        <v>28</v>
      </c>
      <c r="E884" s="14">
        <v>45227</v>
      </c>
      <c r="F884" s="6">
        <v>185</v>
      </c>
      <c r="G884" s="24">
        <v>2.2000000000000002</v>
      </c>
      <c r="H884">
        <f>IF(MONTH(Table13[[#This Row],[Date of Call]])&lt;6, YEAR(Table13[[#This Row],[Date of Call]]),YEAR(Table13[[#This Row],[Date of Call]])+1)</f>
        <v>2024</v>
      </c>
      <c r="I884" t="str">
        <f>TEXT(Table13[[#This Row],[Date of Call]],"dddd")</f>
        <v>Saturday</v>
      </c>
      <c r="J8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4">
        <f>ROUND(Table13[[#This Row],[Satisfaction Rating]],0)</f>
        <v>2</v>
      </c>
    </row>
    <row r="885" spans="1:11" x14ac:dyDescent="0.3">
      <c r="A885" s="23" t="s">
        <v>926</v>
      </c>
      <c r="B885" s="6" t="s">
        <v>16</v>
      </c>
      <c r="C885" s="6">
        <v>69</v>
      </c>
      <c r="D885" s="13" t="s">
        <v>28</v>
      </c>
      <c r="E885" s="14">
        <v>45227</v>
      </c>
      <c r="F885" s="6">
        <v>40</v>
      </c>
      <c r="G885" s="24">
        <v>4.8</v>
      </c>
      <c r="H885">
        <f>IF(MONTH(Table13[[#This Row],[Date of Call]])&lt;6, YEAR(Table13[[#This Row],[Date of Call]]),YEAR(Table13[[#This Row],[Date of Call]])+1)</f>
        <v>2024</v>
      </c>
      <c r="I885" t="str">
        <f>TEXT(Table13[[#This Row],[Date of Call]],"dddd")</f>
        <v>Saturday</v>
      </c>
      <c r="J8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5">
        <f>ROUND(Table13[[#This Row],[Satisfaction Rating]],0)</f>
        <v>5</v>
      </c>
    </row>
    <row r="886" spans="1:11" x14ac:dyDescent="0.3">
      <c r="A886" s="23" t="s">
        <v>927</v>
      </c>
      <c r="B886" s="6" t="s">
        <v>16</v>
      </c>
      <c r="C886" s="6">
        <v>18</v>
      </c>
      <c r="D886" s="13" t="s">
        <v>30</v>
      </c>
      <c r="E886" s="14">
        <v>45227</v>
      </c>
      <c r="F886" s="6">
        <v>225</v>
      </c>
      <c r="G886" s="24">
        <v>2.6</v>
      </c>
      <c r="H886">
        <f>IF(MONTH(Table13[[#This Row],[Date of Call]])&lt;6, YEAR(Table13[[#This Row],[Date of Call]]),YEAR(Table13[[#This Row],[Date of Call]])+1)</f>
        <v>2024</v>
      </c>
      <c r="I886" t="str">
        <f>TEXT(Table13[[#This Row],[Date of Call]],"dddd")</f>
        <v>Saturday</v>
      </c>
      <c r="J8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886">
        <f>ROUND(Table13[[#This Row],[Satisfaction Rating]],0)</f>
        <v>3</v>
      </c>
    </row>
    <row r="887" spans="1:11" x14ac:dyDescent="0.3">
      <c r="A887" s="23" t="s">
        <v>928</v>
      </c>
      <c r="B887" s="6" t="s">
        <v>17</v>
      </c>
      <c r="C887" s="6">
        <v>100</v>
      </c>
      <c r="D887" s="13" t="s">
        <v>31</v>
      </c>
      <c r="E887" s="14">
        <v>45227</v>
      </c>
      <c r="F887" s="6">
        <v>150</v>
      </c>
      <c r="G887" s="24">
        <v>2.6</v>
      </c>
      <c r="H887">
        <f>IF(MONTH(Table13[[#This Row],[Date of Call]])&lt;6, YEAR(Table13[[#This Row],[Date of Call]]),YEAR(Table13[[#This Row],[Date of Call]])+1)</f>
        <v>2024</v>
      </c>
      <c r="I887" t="str">
        <f>TEXT(Table13[[#This Row],[Date of Call]],"dddd")</f>
        <v>Saturday</v>
      </c>
      <c r="J8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7">
        <f>ROUND(Table13[[#This Row],[Satisfaction Rating]],0)</f>
        <v>3</v>
      </c>
    </row>
    <row r="888" spans="1:11" x14ac:dyDescent="0.3">
      <c r="A888" s="23" t="s">
        <v>929</v>
      </c>
      <c r="B888" s="6" t="s">
        <v>13</v>
      </c>
      <c r="C888" s="6">
        <v>110</v>
      </c>
      <c r="D888" s="13" t="s">
        <v>29</v>
      </c>
      <c r="E888" s="14">
        <v>45228</v>
      </c>
      <c r="F888" s="6">
        <v>88</v>
      </c>
      <c r="G888" s="24">
        <v>3.4</v>
      </c>
      <c r="H888">
        <f>IF(MONTH(Table13[[#This Row],[Date of Call]])&lt;6, YEAR(Table13[[#This Row],[Date of Call]]),YEAR(Table13[[#This Row],[Date of Call]])+1)</f>
        <v>2024</v>
      </c>
      <c r="I888" t="str">
        <f>TEXT(Table13[[#This Row],[Date of Call]],"dddd")</f>
        <v>Sunday</v>
      </c>
      <c r="J8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88">
        <f>ROUND(Table13[[#This Row],[Satisfaction Rating]],0)</f>
        <v>3</v>
      </c>
    </row>
    <row r="889" spans="1:11" x14ac:dyDescent="0.3">
      <c r="A889" s="23" t="s">
        <v>930</v>
      </c>
      <c r="B889" s="6" t="s">
        <v>9</v>
      </c>
      <c r="C889" s="6">
        <v>41</v>
      </c>
      <c r="D889" s="13" t="s">
        <v>32</v>
      </c>
      <c r="E889" s="14">
        <v>45228</v>
      </c>
      <c r="F889" s="6">
        <v>140</v>
      </c>
      <c r="G889" s="24">
        <v>3.7</v>
      </c>
      <c r="H889">
        <f>IF(MONTH(Table13[[#This Row],[Date of Call]])&lt;6, YEAR(Table13[[#This Row],[Date of Call]]),YEAR(Table13[[#This Row],[Date of Call]])+1)</f>
        <v>2024</v>
      </c>
      <c r="I889" t="str">
        <f>TEXT(Table13[[#This Row],[Date of Call]],"dddd")</f>
        <v>Sunday</v>
      </c>
      <c r="J8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89">
        <f>ROUND(Table13[[#This Row],[Satisfaction Rating]],0)</f>
        <v>4</v>
      </c>
    </row>
    <row r="890" spans="1:11" x14ac:dyDescent="0.3">
      <c r="A890" s="23" t="s">
        <v>931</v>
      </c>
      <c r="B890" s="6" t="s">
        <v>13</v>
      </c>
      <c r="C890" s="6">
        <v>147</v>
      </c>
      <c r="D890" s="13" t="s">
        <v>29</v>
      </c>
      <c r="E890" s="14">
        <v>45228</v>
      </c>
      <c r="F890" s="6">
        <v>68</v>
      </c>
      <c r="G890" s="24">
        <v>2.1</v>
      </c>
      <c r="H890">
        <f>IF(MONTH(Table13[[#This Row],[Date of Call]])&lt;6, YEAR(Table13[[#This Row],[Date of Call]]),YEAR(Table13[[#This Row],[Date of Call]])+1)</f>
        <v>2024</v>
      </c>
      <c r="I890" t="str">
        <f>TEXT(Table13[[#This Row],[Date of Call]],"dddd")</f>
        <v>Sunday</v>
      </c>
      <c r="J8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90">
        <f>ROUND(Table13[[#This Row],[Satisfaction Rating]],0)</f>
        <v>2</v>
      </c>
    </row>
    <row r="891" spans="1:11" x14ac:dyDescent="0.3">
      <c r="A891" s="23" t="s">
        <v>932</v>
      </c>
      <c r="B891" s="6" t="s">
        <v>7</v>
      </c>
      <c r="C891" s="6">
        <v>31</v>
      </c>
      <c r="D891" s="13" t="s">
        <v>30</v>
      </c>
      <c r="E891" s="14">
        <v>45229</v>
      </c>
      <c r="F891" s="6">
        <v>105</v>
      </c>
      <c r="G891" s="24">
        <v>3.6</v>
      </c>
      <c r="H891">
        <f>IF(MONTH(Table13[[#This Row],[Date of Call]])&lt;6, YEAR(Table13[[#This Row],[Date of Call]]),YEAR(Table13[[#This Row],[Date of Call]])+1)</f>
        <v>2024</v>
      </c>
      <c r="I891" t="str">
        <f>TEXT(Table13[[#This Row],[Date of Call]],"dddd")</f>
        <v>Monday</v>
      </c>
      <c r="J8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91">
        <f>ROUND(Table13[[#This Row],[Satisfaction Rating]],0)</f>
        <v>4</v>
      </c>
    </row>
    <row r="892" spans="1:11" x14ac:dyDescent="0.3">
      <c r="A892" s="23" t="s">
        <v>933</v>
      </c>
      <c r="B892" s="6" t="s">
        <v>4</v>
      </c>
      <c r="C892" s="6">
        <v>142</v>
      </c>
      <c r="D892" s="13" t="s">
        <v>32</v>
      </c>
      <c r="E892" s="14">
        <v>45229</v>
      </c>
      <c r="F892" s="6">
        <v>40</v>
      </c>
      <c r="G892" s="24">
        <v>3.8</v>
      </c>
      <c r="H892">
        <f>IF(MONTH(Table13[[#This Row],[Date of Call]])&lt;6, YEAR(Table13[[#This Row],[Date of Call]]),YEAR(Table13[[#This Row],[Date of Call]])+1)</f>
        <v>2024</v>
      </c>
      <c r="I892" t="str">
        <f>TEXT(Table13[[#This Row],[Date of Call]],"dddd")</f>
        <v>Monday</v>
      </c>
      <c r="J8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92">
        <f>ROUND(Table13[[#This Row],[Satisfaction Rating]],0)</f>
        <v>4</v>
      </c>
    </row>
    <row r="893" spans="1:11" x14ac:dyDescent="0.3">
      <c r="A893" s="23" t="s">
        <v>934</v>
      </c>
      <c r="B893" s="6" t="s">
        <v>12</v>
      </c>
      <c r="C893" s="6">
        <v>61</v>
      </c>
      <c r="D893" s="13" t="s">
        <v>32</v>
      </c>
      <c r="E893" s="14">
        <v>45229</v>
      </c>
      <c r="F893" s="6">
        <v>82</v>
      </c>
      <c r="G893" s="24">
        <v>3.1</v>
      </c>
      <c r="H893">
        <f>IF(MONTH(Table13[[#This Row],[Date of Call]])&lt;6, YEAR(Table13[[#This Row],[Date of Call]]),YEAR(Table13[[#This Row],[Date of Call]])+1)</f>
        <v>2024</v>
      </c>
      <c r="I893" t="str">
        <f>TEXT(Table13[[#This Row],[Date of Call]],"dddd")</f>
        <v>Monday</v>
      </c>
      <c r="J8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93">
        <f>ROUND(Table13[[#This Row],[Satisfaction Rating]],0)</f>
        <v>3</v>
      </c>
    </row>
    <row r="894" spans="1:11" x14ac:dyDescent="0.3">
      <c r="A894" s="23" t="s">
        <v>935</v>
      </c>
      <c r="B894" s="6" t="s">
        <v>6</v>
      </c>
      <c r="C894" s="6">
        <v>86</v>
      </c>
      <c r="D894" s="13" t="s">
        <v>30</v>
      </c>
      <c r="E894" s="14">
        <v>45230</v>
      </c>
      <c r="F894" s="6">
        <v>90</v>
      </c>
      <c r="G894" s="24">
        <v>4.4000000000000004</v>
      </c>
      <c r="H894">
        <f>IF(MONTH(Table13[[#This Row],[Date of Call]])&lt;6, YEAR(Table13[[#This Row],[Date of Call]]),YEAR(Table13[[#This Row],[Date of Call]])+1)</f>
        <v>2024</v>
      </c>
      <c r="I894" t="str">
        <f>TEXT(Table13[[#This Row],[Date of Call]],"dddd")</f>
        <v>Tuesday</v>
      </c>
      <c r="J8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94">
        <f>ROUND(Table13[[#This Row],[Satisfaction Rating]],0)</f>
        <v>4</v>
      </c>
    </row>
    <row r="895" spans="1:11" x14ac:dyDescent="0.3">
      <c r="A895" s="23" t="s">
        <v>936</v>
      </c>
      <c r="B895" s="6" t="s">
        <v>8</v>
      </c>
      <c r="C895" s="6">
        <v>165</v>
      </c>
      <c r="D895" s="13" t="s">
        <v>31</v>
      </c>
      <c r="E895" s="14">
        <v>45231</v>
      </c>
      <c r="F895" s="6">
        <v>66</v>
      </c>
      <c r="G895" s="24">
        <v>4.8</v>
      </c>
      <c r="H895">
        <f>IF(MONTH(Table13[[#This Row],[Date of Call]])&lt;6, YEAR(Table13[[#This Row],[Date of Call]]),YEAR(Table13[[#This Row],[Date of Call]])+1)</f>
        <v>2024</v>
      </c>
      <c r="I895" t="str">
        <f>TEXT(Table13[[#This Row],[Date of Call]],"dddd")</f>
        <v>Wednesday</v>
      </c>
      <c r="J8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895">
        <f>ROUND(Table13[[#This Row],[Satisfaction Rating]],0)</f>
        <v>5</v>
      </c>
    </row>
    <row r="896" spans="1:11" x14ac:dyDescent="0.3">
      <c r="A896" s="23" t="s">
        <v>937</v>
      </c>
      <c r="B896" s="6" t="s">
        <v>11</v>
      </c>
      <c r="C896" s="6">
        <v>62</v>
      </c>
      <c r="D896" s="13" t="s">
        <v>29</v>
      </c>
      <c r="E896" s="14">
        <v>45231</v>
      </c>
      <c r="F896" s="6">
        <v>78</v>
      </c>
      <c r="G896" s="24">
        <v>3.5</v>
      </c>
      <c r="H896">
        <f>IF(MONTH(Table13[[#This Row],[Date of Call]])&lt;6, YEAR(Table13[[#This Row],[Date of Call]]),YEAR(Table13[[#This Row],[Date of Call]])+1)</f>
        <v>2024</v>
      </c>
      <c r="I896" t="str">
        <f>TEXT(Table13[[#This Row],[Date of Call]],"dddd")</f>
        <v>Wednesday</v>
      </c>
      <c r="J8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96">
        <f>ROUND(Table13[[#This Row],[Satisfaction Rating]],0)</f>
        <v>4</v>
      </c>
    </row>
    <row r="897" spans="1:11" x14ac:dyDescent="0.3">
      <c r="A897" s="23" t="s">
        <v>938</v>
      </c>
      <c r="B897" s="6" t="s">
        <v>17</v>
      </c>
      <c r="C897" s="6">
        <v>103</v>
      </c>
      <c r="D897" s="13" t="s">
        <v>31</v>
      </c>
      <c r="E897" s="14">
        <v>45232</v>
      </c>
      <c r="F897" s="6">
        <v>66</v>
      </c>
      <c r="G897" s="24">
        <v>4.4000000000000004</v>
      </c>
      <c r="H897">
        <f>IF(MONTH(Table13[[#This Row],[Date of Call]])&lt;6, YEAR(Table13[[#This Row],[Date of Call]]),YEAR(Table13[[#This Row],[Date of Call]])+1)</f>
        <v>2024</v>
      </c>
      <c r="I897" t="str">
        <f>TEXT(Table13[[#This Row],[Date of Call]],"dddd")</f>
        <v>Thursday</v>
      </c>
      <c r="J8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97">
        <f>ROUND(Table13[[#This Row],[Satisfaction Rating]],0)</f>
        <v>4</v>
      </c>
    </row>
    <row r="898" spans="1:11" x14ac:dyDescent="0.3">
      <c r="A898" s="23" t="s">
        <v>939</v>
      </c>
      <c r="B898" s="6" t="s">
        <v>4</v>
      </c>
      <c r="C898" s="6">
        <v>56</v>
      </c>
      <c r="D898" s="13" t="s">
        <v>30</v>
      </c>
      <c r="E898" s="14">
        <v>45233</v>
      </c>
      <c r="F898" s="6">
        <v>160</v>
      </c>
      <c r="G898" s="24">
        <v>3.8</v>
      </c>
      <c r="H898">
        <f>IF(MONTH(Table13[[#This Row],[Date of Call]])&lt;6, YEAR(Table13[[#This Row],[Date of Call]]),YEAR(Table13[[#This Row],[Date of Call]])+1)</f>
        <v>2024</v>
      </c>
      <c r="I898" t="str">
        <f>TEXT(Table13[[#This Row],[Date of Call]],"dddd")</f>
        <v>Friday</v>
      </c>
      <c r="J8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898">
        <f>ROUND(Table13[[#This Row],[Satisfaction Rating]],0)</f>
        <v>4</v>
      </c>
    </row>
    <row r="899" spans="1:11" x14ac:dyDescent="0.3">
      <c r="A899" s="23" t="s">
        <v>940</v>
      </c>
      <c r="B899" s="6" t="s">
        <v>15</v>
      </c>
      <c r="C899" s="6">
        <v>114</v>
      </c>
      <c r="D899" s="13" t="s">
        <v>32</v>
      </c>
      <c r="E899" s="14">
        <v>45234</v>
      </c>
      <c r="F899" s="6">
        <v>144</v>
      </c>
      <c r="G899" s="24">
        <v>3.8</v>
      </c>
      <c r="H899">
        <f>IF(MONTH(Table13[[#This Row],[Date of Call]])&lt;6, YEAR(Table13[[#This Row],[Date of Call]]),YEAR(Table13[[#This Row],[Date of Call]])+1)</f>
        <v>2024</v>
      </c>
      <c r="I899" t="str">
        <f>TEXT(Table13[[#This Row],[Date of Call]],"dddd")</f>
        <v>Saturday</v>
      </c>
      <c r="J8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899">
        <f>ROUND(Table13[[#This Row],[Satisfaction Rating]],0)</f>
        <v>4</v>
      </c>
    </row>
    <row r="900" spans="1:11" x14ac:dyDescent="0.3">
      <c r="A900" s="23" t="s">
        <v>941</v>
      </c>
      <c r="B900" s="6" t="s">
        <v>4</v>
      </c>
      <c r="C900" s="6">
        <v>112</v>
      </c>
      <c r="D900" s="13" t="s">
        <v>28</v>
      </c>
      <c r="E900" s="14">
        <v>45234</v>
      </c>
      <c r="F900" s="6">
        <v>200</v>
      </c>
      <c r="G900" s="24">
        <v>4.5999999999999996</v>
      </c>
      <c r="H900">
        <f>IF(MONTH(Table13[[#This Row],[Date of Call]])&lt;6, YEAR(Table13[[#This Row],[Date of Call]]),YEAR(Table13[[#This Row],[Date of Call]])+1)</f>
        <v>2024</v>
      </c>
      <c r="I900" t="str">
        <f>TEXT(Table13[[#This Row],[Date of Call]],"dddd")</f>
        <v>Saturday</v>
      </c>
      <c r="J9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00">
        <f>ROUND(Table13[[#This Row],[Satisfaction Rating]],0)</f>
        <v>5</v>
      </c>
    </row>
    <row r="901" spans="1:11" x14ac:dyDescent="0.3">
      <c r="A901" s="23" t="s">
        <v>942</v>
      </c>
      <c r="B901" s="6" t="s">
        <v>10</v>
      </c>
      <c r="C901" s="6">
        <v>52</v>
      </c>
      <c r="D901" s="13" t="s">
        <v>29</v>
      </c>
      <c r="E901" s="14">
        <v>45236</v>
      </c>
      <c r="F901" s="6">
        <v>220</v>
      </c>
      <c r="G901" s="24">
        <v>5</v>
      </c>
      <c r="H901">
        <f>IF(MONTH(Table13[[#This Row],[Date of Call]])&lt;6, YEAR(Table13[[#This Row],[Date of Call]]),YEAR(Table13[[#This Row],[Date of Call]])+1)</f>
        <v>2024</v>
      </c>
      <c r="I901" t="str">
        <f>TEXT(Table13[[#This Row],[Date of Call]],"dddd")</f>
        <v>Monday</v>
      </c>
      <c r="J9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01">
        <f>ROUND(Table13[[#This Row],[Satisfaction Rating]],0)</f>
        <v>5</v>
      </c>
    </row>
    <row r="902" spans="1:11" x14ac:dyDescent="0.3">
      <c r="A902" s="23" t="s">
        <v>943</v>
      </c>
      <c r="B902" s="6" t="s">
        <v>17</v>
      </c>
      <c r="C902" s="6">
        <v>105</v>
      </c>
      <c r="D902" s="13" t="s">
        <v>31</v>
      </c>
      <c r="E902" s="14">
        <v>45237</v>
      </c>
      <c r="F902" s="6">
        <v>112</v>
      </c>
      <c r="G902" s="24">
        <v>3.2</v>
      </c>
      <c r="H902">
        <f>IF(MONTH(Table13[[#This Row],[Date of Call]])&lt;6, YEAR(Table13[[#This Row],[Date of Call]]),YEAR(Table13[[#This Row],[Date of Call]])+1)</f>
        <v>2024</v>
      </c>
      <c r="I902" t="str">
        <f>TEXT(Table13[[#This Row],[Date of Call]],"dddd")</f>
        <v>Tuesday</v>
      </c>
      <c r="J9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02">
        <f>ROUND(Table13[[#This Row],[Satisfaction Rating]],0)</f>
        <v>3</v>
      </c>
    </row>
    <row r="903" spans="1:11" x14ac:dyDescent="0.3">
      <c r="A903" s="23" t="s">
        <v>944</v>
      </c>
      <c r="B903" s="6" t="s">
        <v>8</v>
      </c>
      <c r="C903" s="6">
        <v>91</v>
      </c>
      <c r="D903" s="13" t="s">
        <v>30</v>
      </c>
      <c r="E903" s="14">
        <v>45237</v>
      </c>
      <c r="F903" s="6">
        <v>110</v>
      </c>
      <c r="G903" s="24">
        <v>3.7</v>
      </c>
      <c r="H903">
        <f>IF(MONTH(Table13[[#This Row],[Date of Call]])&lt;6, YEAR(Table13[[#This Row],[Date of Call]]),YEAR(Table13[[#This Row],[Date of Call]])+1)</f>
        <v>2024</v>
      </c>
      <c r="I903" t="str">
        <f>TEXT(Table13[[#This Row],[Date of Call]],"dddd")</f>
        <v>Tuesday</v>
      </c>
      <c r="J9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03">
        <f>ROUND(Table13[[#This Row],[Satisfaction Rating]],0)</f>
        <v>4</v>
      </c>
    </row>
    <row r="904" spans="1:11" x14ac:dyDescent="0.3">
      <c r="A904" s="23" t="s">
        <v>945</v>
      </c>
      <c r="B904" s="6" t="s">
        <v>18</v>
      </c>
      <c r="C904" s="6">
        <v>74</v>
      </c>
      <c r="D904" s="13" t="s">
        <v>32</v>
      </c>
      <c r="E904" s="14">
        <v>45238</v>
      </c>
      <c r="F904" s="6">
        <v>160</v>
      </c>
      <c r="G904" s="24">
        <v>2.7</v>
      </c>
      <c r="H904">
        <f>IF(MONTH(Table13[[#This Row],[Date of Call]])&lt;6, YEAR(Table13[[#This Row],[Date of Call]]),YEAR(Table13[[#This Row],[Date of Call]])+1)</f>
        <v>2024</v>
      </c>
      <c r="I904" t="str">
        <f>TEXT(Table13[[#This Row],[Date of Call]],"dddd")</f>
        <v>Wednesday</v>
      </c>
      <c r="J9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04">
        <f>ROUND(Table13[[#This Row],[Satisfaction Rating]],0)</f>
        <v>3</v>
      </c>
    </row>
    <row r="905" spans="1:11" x14ac:dyDescent="0.3">
      <c r="A905" s="23" t="s">
        <v>946</v>
      </c>
      <c r="B905" s="6" t="s">
        <v>18</v>
      </c>
      <c r="C905" s="6">
        <v>30</v>
      </c>
      <c r="D905" s="13" t="s">
        <v>30</v>
      </c>
      <c r="E905" s="14">
        <v>45238</v>
      </c>
      <c r="F905" s="6">
        <v>84</v>
      </c>
      <c r="G905" s="24">
        <v>4</v>
      </c>
      <c r="H905">
        <f>IF(MONTH(Table13[[#This Row],[Date of Call]])&lt;6, YEAR(Table13[[#This Row],[Date of Call]]),YEAR(Table13[[#This Row],[Date of Call]])+1)</f>
        <v>2024</v>
      </c>
      <c r="I905" t="str">
        <f>TEXT(Table13[[#This Row],[Date of Call]],"dddd")</f>
        <v>Wednesday</v>
      </c>
      <c r="J90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05">
        <f>ROUND(Table13[[#This Row],[Satisfaction Rating]],0)</f>
        <v>4</v>
      </c>
    </row>
    <row r="906" spans="1:11" x14ac:dyDescent="0.3">
      <c r="A906" s="23" t="s">
        <v>947</v>
      </c>
      <c r="B906" s="6" t="s">
        <v>8</v>
      </c>
      <c r="C906" s="6">
        <v>56</v>
      </c>
      <c r="D906" s="13" t="s">
        <v>29</v>
      </c>
      <c r="E906" s="14">
        <v>45238</v>
      </c>
      <c r="F906" s="6">
        <v>124</v>
      </c>
      <c r="G906" s="24">
        <v>2.6</v>
      </c>
      <c r="H906">
        <f>IF(MONTH(Table13[[#This Row],[Date of Call]])&lt;6, YEAR(Table13[[#This Row],[Date of Call]]),YEAR(Table13[[#This Row],[Date of Call]])+1)</f>
        <v>2024</v>
      </c>
      <c r="I906" t="str">
        <f>TEXT(Table13[[#This Row],[Date of Call]],"dddd")</f>
        <v>Wednesday</v>
      </c>
      <c r="J90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06">
        <f>ROUND(Table13[[#This Row],[Satisfaction Rating]],0)</f>
        <v>3</v>
      </c>
    </row>
    <row r="907" spans="1:11" x14ac:dyDescent="0.3">
      <c r="A907" s="23" t="s">
        <v>948</v>
      </c>
      <c r="B907" s="6" t="s">
        <v>18</v>
      </c>
      <c r="C907" s="6">
        <v>151</v>
      </c>
      <c r="D907" s="13" t="s">
        <v>28</v>
      </c>
      <c r="E907" s="14">
        <v>45238</v>
      </c>
      <c r="F907" s="6">
        <v>84</v>
      </c>
      <c r="G907" s="24">
        <v>4.5999999999999996</v>
      </c>
      <c r="H907">
        <f>IF(MONTH(Table13[[#This Row],[Date of Call]])&lt;6, YEAR(Table13[[#This Row],[Date of Call]]),YEAR(Table13[[#This Row],[Date of Call]])+1)</f>
        <v>2024</v>
      </c>
      <c r="I907" t="str">
        <f>TEXT(Table13[[#This Row],[Date of Call]],"dddd")</f>
        <v>Wednesday</v>
      </c>
      <c r="J90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07">
        <f>ROUND(Table13[[#This Row],[Satisfaction Rating]],0)</f>
        <v>5</v>
      </c>
    </row>
    <row r="908" spans="1:11" x14ac:dyDescent="0.3">
      <c r="A908" s="23" t="s">
        <v>949</v>
      </c>
      <c r="B908" s="6" t="s">
        <v>7</v>
      </c>
      <c r="C908" s="6">
        <v>108</v>
      </c>
      <c r="D908" s="13" t="s">
        <v>31</v>
      </c>
      <c r="E908" s="14">
        <v>45239</v>
      </c>
      <c r="F908" s="6">
        <v>130</v>
      </c>
      <c r="G908" s="24">
        <v>2.7</v>
      </c>
      <c r="H908">
        <f>IF(MONTH(Table13[[#This Row],[Date of Call]])&lt;6, YEAR(Table13[[#This Row],[Date of Call]]),YEAR(Table13[[#This Row],[Date of Call]])+1)</f>
        <v>2024</v>
      </c>
      <c r="I908" t="str">
        <f>TEXT(Table13[[#This Row],[Date of Call]],"dddd")</f>
        <v>Thursday</v>
      </c>
      <c r="J90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08">
        <f>ROUND(Table13[[#This Row],[Satisfaction Rating]],0)</f>
        <v>3</v>
      </c>
    </row>
    <row r="909" spans="1:11" x14ac:dyDescent="0.3">
      <c r="A909" s="23" t="s">
        <v>950</v>
      </c>
      <c r="B909" s="6" t="s">
        <v>15</v>
      </c>
      <c r="C909" s="6">
        <v>124</v>
      </c>
      <c r="D909" s="13" t="s">
        <v>32</v>
      </c>
      <c r="E909" s="14">
        <v>45239</v>
      </c>
      <c r="F909" s="6">
        <v>215</v>
      </c>
      <c r="G909" s="24">
        <v>3.5</v>
      </c>
      <c r="H909">
        <f>IF(MONTH(Table13[[#This Row],[Date of Call]])&lt;6, YEAR(Table13[[#This Row],[Date of Call]]),YEAR(Table13[[#This Row],[Date of Call]])+1)</f>
        <v>2024</v>
      </c>
      <c r="I909" t="str">
        <f>TEXT(Table13[[#This Row],[Date of Call]],"dddd")</f>
        <v>Thursday</v>
      </c>
      <c r="J90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09">
        <f>ROUND(Table13[[#This Row],[Satisfaction Rating]],0)</f>
        <v>4</v>
      </c>
    </row>
    <row r="910" spans="1:11" x14ac:dyDescent="0.3">
      <c r="A910" s="23" t="s">
        <v>951</v>
      </c>
      <c r="B910" s="6" t="s">
        <v>17</v>
      </c>
      <c r="C910" s="6">
        <v>110</v>
      </c>
      <c r="D910" s="13" t="s">
        <v>29</v>
      </c>
      <c r="E910" s="14">
        <v>45240</v>
      </c>
      <c r="F910" s="6">
        <v>132</v>
      </c>
      <c r="G910" s="24">
        <v>3.6</v>
      </c>
      <c r="H910">
        <f>IF(MONTH(Table13[[#This Row],[Date of Call]])&lt;6, YEAR(Table13[[#This Row],[Date of Call]]),YEAR(Table13[[#This Row],[Date of Call]])+1)</f>
        <v>2024</v>
      </c>
      <c r="I910" t="str">
        <f>TEXT(Table13[[#This Row],[Date of Call]],"dddd")</f>
        <v>Friday</v>
      </c>
      <c r="J91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0">
        <f>ROUND(Table13[[#This Row],[Satisfaction Rating]],0)</f>
        <v>4</v>
      </c>
    </row>
    <row r="911" spans="1:11" x14ac:dyDescent="0.3">
      <c r="A911" s="23" t="s">
        <v>952</v>
      </c>
      <c r="B911" s="6" t="s">
        <v>13</v>
      </c>
      <c r="C911" s="6">
        <v>89</v>
      </c>
      <c r="D911" s="13" t="s">
        <v>31</v>
      </c>
      <c r="E911" s="14">
        <v>45240</v>
      </c>
      <c r="F911" s="6">
        <v>88</v>
      </c>
      <c r="G911" s="24">
        <v>4.9000000000000004</v>
      </c>
      <c r="H911">
        <f>IF(MONTH(Table13[[#This Row],[Date of Call]])&lt;6, YEAR(Table13[[#This Row],[Date of Call]]),YEAR(Table13[[#This Row],[Date of Call]])+1)</f>
        <v>2024</v>
      </c>
      <c r="I911" t="str">
        <f>TEXT(Table13[[#This Row],[Date of Call]],"dddd")</f>
        <v>Friday</v>
      </c>
      <c r="J91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1">
        <f>ROUND(Table13[[#This Row],[Satisfaction Rating]],0)</f>
        <v>5</v>
      </c>
    </row>
    <row r="912" spans="1:11" x14ac:dyDescent="0.3">
      <c r="A912" s="23" t="s">
        <v>953</v>
      </c>
      <c r="B912" s="6" t="s">
        <v>6</v>
      </c>
      <c r="C912" s="6">
        <v>95</v>
      </c>
      <c r="D912" s="13" t="s">
        <v>29</v>
      </c>
      <c r="E912" s="14">
        <v>45240</v>
      </c>
      <c r="F912" s="6">
        <v>140</v>
      </c>
      <c r="G912" s="24">
        <v>3.9</v>
      </c>
      <c r="H912">
        <f>IF(MONTH(Table13[[#This Row],[Date of Call]])&lt;6, YEAR(Table13[[#This Row],[Date of Call]]),YEAR(Table13[[#This Row],[Date of Call]])+1)</f>
        <v>2024</v>
      </c>
      <c r="I912" t="str">
        <f>TEXT(Table13[[#This Row],[Date of Call]],"dddd")</f>
        <v>Friday</v>
      </c>
      <c r="J91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2">
        <f>ROUND(Table13[[#This Row],[Satisfaction Rating]],0)</f>
        <v>4</v>
      </c>
    </row>
    <row r="913" spans="1:11" x14ac:dyDescent="0.3">
      <c r="A913" s="23" t="s">
        <v>954</v>
      </c>
      <c r="B913" s="6" t="s">
        <v>18</v>
      </c>
      <c r="C913" s="6">
        <v>84</v>
      </c>
      <c r="D913" s="13" t="s">
        <v>31</v>
      </c>
      <c r="E913" s="14">
        <v>45241</v>
      </c>
      <c r="F913" s="6">
        <v>66</v>
      </c>
      <c r="G913" s="24">
        <v>4.7</v>
      </c>
      <c r="H913">
        <f>IF(MONTH(Table13[[#This Row],[Date of Call]])&lt;6, YEAR(Table13[[#This Row],[Date of Call]]),YEAR(Table13[[#This Row],[Date of Call]])+1)</f>
        <v>2024</v>
      </c>
      <c r="I913" t="str">
        <f>TEXT(Table13[[#This Row],[Date of Call]],"dddd")</f>
        <v>Saturday</v>
      </c>
      <c r="J91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3">
        <f>ROUND(Table13[[#This Row],[Satisfaction Rating]],0)</f>
        <v>5</v>
      </c>
    </row>
    <row r="914" spans="1:11" x14ac:dyDescent="0.3">
      <c r="A914" s="23" t="s">
        <v>955</v>
      </c>
      <c r="B914" s="6" t="s">
        <v>5</v>
      </c>
      <c r="C914" s="6">
        <v>89</v>
      </c>
      <c r="D914" s="13" t="s">
        <v>32</v>
      </c>
      <c r="E914" s="14">
        <v>45241</v>
      </c>
      <c r="F914" s="6">
        <v>23</v>
      </c>
      <c r="G914" s="24">
        <v>4.5</v>
      </c>
      <c r="H914">
        <f>IF(MONTH(Table13[[#This Row],[Date of Call]])&lt;6, YEAR(Table13[[#This Row],[Date of Call]]),YEAR(Table13[[#This Row],[Date of Call]])+1)</f>
        <v>2024</v>
      </c>
      <c r="I914" t="str">
        <f>TEXT(Table13[[#This Row],[Date of Call]],"dddd")</f>
        <v>Saturday</v>
      </c>
      <c r="J91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4">
        <f>ROUND(Table13[[#This Row],[Satisfaction Rating]],0)</f>
        <v>5</v>
      </c>
    </row>
    <row r="915" spans="1:11" x14ac:dyDescent="0.3">
      <c r="A915" s="23" t="s">
        <v>956</v>
      </c>
      <c r="B915" s="6" t="s">
        <v>13</v>
      </c>
      <c r="C915" s="6">
        <v>146</v>
      </c>
      <c r="D915" s="13" t="s">
        <v>32</v>
      </c>
      <c r="E915" s="14">
        <v>45242</v>
      </c>
      <c r="F915" s="6">
        <v>220</v>
      </c>
      <c r="G915" s="24">
        <v>4.5</v>
      </c>
      <c r="H915">
        <f>IF(MONTH(Table13[[#This Row],[Date of Call]])&lt;6, YEAR(Table13[[#This Row],[Date of Call]]),YEAR(Table13[[#This Row],[Date of Call]])+1)</f>
        <v>2024</v>
      </c>
      <c r="I915" t="str">
        <f>TEXT(Table13[[#This Row],[Date of Call]],"dddd")</f>
        <v>Sunday</v>
      </c>
      <c r="J91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15">
        <f>ROUND(Table13[[#This Row],[Satisfaction Rating]],0)</f>
        <v>5</v>
      </c>
    </row>
    <row r="916" spans="1:11" x14ac:dyDescent="0.3">
      <c r="A916" s="23" t="s">
        <v>957</v>
      </c>
      <c r="B916" s="6" t="s">
        <v>16</v>
      </c>
      <c r="C916" s="6">
        <v>62</v>
      </c>
      <c r="D916" s="13" t="s">
        <v>30</v>
      </c>
      <c r="E916" s="14">
        <v>45243</v>
      </c>
      <c r="F916" s="6">
        <v>175</v>
      </c>
      <c r="G916" s="24">
        <v>4.4000000000000004</v>
      </c>
      <c r="H916">
        <f>IF(MONTH(Table13[[#This Row],[Date of Call]])&lt;6, YEAR(Table13[[#This Row],[Date of Call]]),YEAR(Table13[[#This Row],[Date of Call]])+1)</f>
        <v>2024</v>
      </c>
      <c r="I916" t="str">
        <f>TEXT(Table13[[#This Row],[Date of Call]],"dddd")</f>
        <v>Monday</v>
      </c>
      <c r="J91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6">
        <f>ROUND(Table13[[#This Row],[Satisfaction Rating]],0)</f>
        <v>4</v>
      </c>
    </row>
    <row r="917" spans="1:11" x14ac:dyDescent="0.3">
      <c r="A917" s="23" t="s">
        <v>958</v>
      </c>
      <c r="B917" s="6" t="s">
        <v>4</v>
      </c>
      <c r="C917" s="6">
        <v>82</v>
      </c>
      <c r="D917" s="13" t="s">
        <v>32</v>
      </c>
      <c r="E917" s="14">
        <v>45243</v>
      </c>
      <c r="F917" s="6">
        <v>172</v>
      </c>
      <c r="G917" s="24">
        <v>4.0999999999999996</v>
      </c>
      <c r="H917">
        <f>IF(MONTH(Table13[[#This Row],[Date of Call]])&lt;6, YEAR(Table13[[#This Row],[Date of Call]]),YEAR(Table13[[#This Row],[Date of Call]])+1)</f>
        <v>2024</v>
      </c>
      <c r="I917" t="str">
        <f>TEXT(Table13[[#This Row],[Date of Call]],"dddd")</f>
        <v>Monday</v>
      </c>
      <c r="J91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7">
        <f>ROUND(Table13[[#This Row],[Satisfaction Rating]],0)</f>
        <v>4</v>
      </c>
    </row>
    <row r="918" spans="1:11" x14ac:dyDescent="0.3">
      <c r="A918" s="23" t="s">
        <v>959</v>
      </c>
      <c r="B918" s="6" t="s">
        <v>12</v>
      </c>
      <c r="C918" s="6">
        <v>91</v>
      </c>
      <c r="D918" s="13" t="s">
        <v>28</v>
      </c>
      <c r="E918" s="14">
        <v>45243</v>
      </c>
      <c r="F918" s="6">
        <v>108</v>
      </c>
      <c r="G918" s="24">
        <v>3.8</v>
      </c>
      <c r="H918">
        <f>IF(MONTH(Table13[[#This Row],[Date of Call]])&lt;6, YEAR(Table13[[#This Row],[Date of Call]]),YEAR(Table13[[#This Row],[Date of Call]])+1)</f>
        <v>2024</v>
      </c>
      <c r="I918" t="str">
        <f>TEXT(Table13[[#This Row],[Date of Call]],"dddd")</f>
        <v>Monday</v>
      </c>
      <c r="J91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18">
        <f>ROUND(Table13[[#This Row],[Satisfaction Rating]],0)</f>
        <v>4</v>
      </c>
    </row>
    <row r="919" spans="1:11" x14ac:dyDescent="0.3">
      <c r="A919" s="23" t="s">
        <v>960</v>
      </c>
      <c r="B919" s="6" t="s">
        <v>5</v>
      </c>
      <c r="C919" s="6">
        <v>39</v>
      </c>
      <c r="D919" s="13" t="s">
        <v>32</v>
      </c>
      <c r="E919" s="14">
        <v>45244</v>
      </c>
      <c r="F919" s="6">
        <v>43</v>
      </c>
      <c r="G919" s="24">
        <v>4.2</v>
      </c>
      <c r="H919">
        <f>IF(MONTH(Table13[[#This Row],[Date of Call]])&lt;6, YEAR(Table13[[#This Row],[Date of Call]]),YEAR(Table13[[#This Row],[Date of Call]])+1)</f>
        <v>2024</v>
      </c>
      <c r="I919" t="str">
        <f>TEXT(Table13[[#This Row],[Date of Call]],"dddd")</f>
        <v>Tuesday</v>
      </c>
      <c r="J91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19">
        <f>ROUND(Table13[[#This Row],[Satisfaction Rating]],0)</f>
        <v>4</v>
      </c>
    </row>
    <row r="920" spans="1:11" x14ac:dyDescent="0.3">
      <c r="A920" s="23" t="s">
        <v>961</v>
      </c>
      <c r="B920" s="6" t="s">
        <v>13</v>
      </c>
      <c r="C920" s="6">
        <v>149</v>
      </c>
      <c r="D920" s="13" t="s">
        <v>29</v>
      </c>
      <c r="E920" s="14">
        <v>45244</v>
      </c>
      <c r="F920" s="6">
        <v>44</v>
      </c>
      <c r="G920" s="24">
        <v>2.2000000000000002</v>
      </c>
      <c r="H920">
        <f>IF(MONTH(Table13[[#This Row],[Date of Call]])&lt;6, YEAR(Table13[[#This Row],[Date of Call]]),YEAR(Table13[[#This Row],[Date of Call]])+1)</f>
        <v>2024</v>
      </c>
      <c r="I920" t="str">
        <f>TEXT(Table13[[#This Row],[Date of Call]],"dddd")</f>
        <v>Tuesday</v>
      </c>
      <c r="J92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20">
        <f>ROUND(Table13[[#This Row],[Satisfaction Rating]],0)</f>
        <v>2</v>
      </c>
    </row>
    <row r="921" spans="1:11" x14ac:dyDescent="0.3">
      <c r="A921" s="23" t="s">
        <v>962</v>
      </c>
      <c r="B921" s="6" t="s">
        <v>4</v>
      </c>
      <c r="C921" s="6">
        <v>138</v>
      </c>
      <c r="D921" s="13" t="s">
        <v>30</v>
      </c>
      <c r="E921" s="14">
        <v>45244</v>
      </c>
      <c r="F921" s="6">
        <v>105</v>
      </c>
      <c r="G921" s="24">
        <v>3.9</v>
      </c>
      <c r="H921">
        <f>IF(MONTH(Table13[[#This Row],[Date of Call]])&lt;6, YEAR(Table13[[#This Row],[Date of Call]]),YEAR(Table13[[#This Row],[Date of Call]])+1)</f>
        <v>2024</v>
      </c>
      <c r="I921" t="str">
        <f>TEXT(Table13[[#This Row],[Date of Call]],"dddd")</f>
        <v>Tuesday</v>
      </c>
      <c r="J92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21">
        <f>ROUND(Table13[[#This Row],[Satisfaction Rating]],0)</f>
        <v>4</v>
      </c>
    </row>
    <row r="922" spans="1:11" x14ac:dyDescent="0.3">
      <c r="A922" s="23" t="s">
        <v>963</v>
      </c>
      <c r="B922" s="6" t="s">
        <v>16</v>
      </c>
      <c r="C922" s="6">
        <v>113</v>
      </c>
      <c r="D922" s="13" t="s">
        <v>29</v>
      </c>
      <c r="E922" s="14">
        <v>45245</v>
      </c>
      <c r="F922" s="6">
        <v>34</v>
      </c>
      <c r="G922" s="24">
        <v>3.9</v>
      </c>
      <c r="H922">
        <f>IF(MONTH(Table13[[#This Row],[Date of Call]])&lt;6, YEAR(Table13[[#This Row],[Date of Call]]),YEAR(Table13[[#This Row],[Date of Call]])+1)</f>
        <v>2024</v>
      </c>
      <c r="I922" t="str">
        <f>TEXT(Table13[[#This Row],[Date of Call]],"dddd")</f>
        <v>Wednesday</v>
      </c>
      <c r="J92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22">
        <f>ROUND(Table13[[#This Row],[Satisfaction Rating]],0)</f>
        <v>4</v>
      </c>
    </row>
    <row r="923" spans="1:11" x14ac:dyDescent="0.3">
      <c r="A923" s="23" t="s">
        <v>964</v>
      </c>
      <c r="B923" s="6" t="s">
        <v>14</v>
      </c>
      <c r="C923" s="6">
        <v>88</v>
      </c>
      <c r="D923" s="13" t="s">
        <v>32</v>
      </c>
      <c r="E923" s="14">
        <v>45245</v>
      </c>
      <c r="F923" s="6">
        <v>220</v>
      </c>
      <c r="G923" s="24">
        <v>4.0999999999999996</v>
      </c>
      <c r="H923">
        <f>IF(MONTH(Table13[[#This Row],[Date of Call]])&lt;6, YEAR(Table13[[#This Row],[Date of Call]]),YEAR(Table13[[#This Row],[Date of Call]])+1)</f>
        <v>2024</v>
      </c>
      <c r="I923" t="str">
        <f>TEXT(Table13[[#This Row],[Date of Call]],"dddd")</f>
        <v>Wednesday</v>
      </c>
      <c r="J92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23">
        <f>ROUND(Table13[[#This Row],[Satisfaction Rating]],0)</f>
        <v>4</v>
      </c>
    </row>
    <row r="924" spans="1:11" x14ac:dyDescent="0.3">
      <c r="A924" s="23" t="s">
        <v>965</v>
      </c>
      <c r="B924" s="6" t="s">
        <v>6</v>
      </c>
      <c r="C924" s="6">
        <v>64</v>
      </c>
      <c r="D924" s="13" t="s">
        <v>30</v>
      </c>
      <c r="E924" s="14">
        <v>45245</v>
      </c>
      <c r="F924" s="6">
        <v>225</v>
      </c>
      <c r="G924" s="24">
        <v>4.5999999999999996</v>
      </c>
      <c r="H924">
        <f>IF(MONTH(Table13[[#This Row],[Date of Call]])&lt;6, YEAR(Table13[[#This Row],[Date of Call]]),YEAR(Table13[[#This Row],[Date of Call]])+1)</f>
        <v>2024</v>
      </c>
      <c r="I924" t="str">
        <f>TEXT(Table13[[#This Row],[Date of Call]],"dddd")</f>
        <v>Wednesday</v>
      </c>
      <c r="J92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24">
        <f>ROUND(Table13[[#This Row],[Satisfaction Rating]],0)</f>
        <v>5</v>
      </c>
    </row>
    <row r="925" spans="1:11" x14ac:dyDescent="0.3">
      <c r="A925" s="23" t="s">
        <v>966</v>
      </c>
      <c r="B925" s="6" t="s">
        <v>8</v>
      </c>
      <c r="C925" s="6">
        <v>53</v>
      </c>
      <c r="D925" s="13" t="s">
        <v>30</v>
      </c>
      <c r="E925" s="14">
        <v>45246</v>
      </c>
      <c r="F925" s="6">
        <v>37</v>
      </c>
      <c r="G925" s="24">
        <v>4.0999999999999996</v>
      </c>
      <c r="H925">
        <f>IF(MONTH(Table13[[#This Row],[Date of Call]])&lt;6, YEAR(Table13[[#This Row],[Date of Call]]),YEAR(Table13[[#This Row],[Date of Call]])+1)</f>
        <v>2024</v>
      </c>
      <c r="I925" t="str">
        <f>TEXT(Table13[[#This Row],[Date of Call]],"dddd")</f>
        <v>Thursday</v>
      </c>
      <c r="J92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25">
        <f>ROUND(Table13[[#This Row],[Satisfaction Rating]],0)</f>
        <v>4</v>
      </c>
    </row>
    <row r="926" spans="1:11" x14ac:dyDescent="0.3">
      <c r="A926" s="23" t="s">
        <v>967</v>
      </c>
      <c r="B926" s="6" t="s">
        <v>15</v>
      </c>
      <c r="C926" s="6">
        <v>63</v>
      </c>
      <c r="D926" s="13" t="s">
        <v>29</v>
      </c>
      <c r="E926" s="14">
        <v>45246</v>
      </c>
      <c r="F926" s="6">
        <v>44</v>
      </c>
      <c r="G926" s="24">
        <v>5</v>
      </c>
      <c r="H926">
        <f>IF(MONTH(Table13[[#This Row],[Date of Call]])&lt;6, YEAR(Table13[[#This Row],[Date of Call]]),YEAR(Table13[[#This Row],[Date of Call]])+1)</f>
        <v>2024</v>
      </c>
      <c r="I926" t="str">
        <f>TEXT(Table13[[#This Row],[Date of Call]],"dddd")</f>
        <v>Thursday</v>
      </c>
      <c r="J92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26">
        <f>ROUND(Table13[[#This Row],[Satisfaction Rating]],0)</f>
        <v>5</v>
      </c>
    </row>
    <row r="927" spans="1:11" x14ac:dyDescent="0.3">
      <c r="A927" s="23" t="s">
        <v>968</v>
      </c>
      <c r="B927" s="6" t="s">
        <v>10</v>
      </c>
      <c r="C927" s="6">
        <v>54</v>
      </c>
      <c r="D927" s="13" t="s">
        <v>29</v>
      </c>
      <c r="E927" s="14">
        <v>45247</v>
      </c>
      <c r="F927" s="6">
        <v>35</v>
      </c>
      <c r="G927" s="24">
        <v>2.8</v>
      </c>
      <c r="H927">
        <f>IF(MONTH(Table13[[#This Row],[Date of Call]])&lt;6, YEAR(Table13[[#This Row],[Date of Call]]),YEAR(Table13[[#This Row],[Date of Call]])+1)</f>
        <v>2024</v>
      </c>
      <c r="I927" t="str">
        <f>TEXT(Table13[[#This Row],[Date of Call]],"dddd")</f>
        <v>Friday</v>
      </c>
      <c r="J92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27">
        <f>ROUND(Table13[[#This Row],[Satisfaction Rating]],0)</f>
        <v>3</v>
      </c>
    </row>
    <row r="928" spans="1:11" x14ac:dyDescent="0.3">
      <c r="A928" s="23" t="s">
        <v>969</v>
      </c>
      <c r="B928" s="6" t="s">
        <v>15</v>
      </c>
      <c r="C928" s="6">
        <v>54</v>
      </c>
      <c r="D928" s="13" t="s">
        <v>32</v>
      </c>
      <c r="E928" s="14">
        <v>45247</v>
      </c>
      <c r="F928" s="6">
        <v>145</v>
      </c>
      <c r="G928" s="24">
        <v>2.7</v>
      </c>
      <c r="H928">
        <f>IF(MONTH(Table13[[#This Row],[Date of Call]])&lt;6, YEAR(Table13[[#This Row],[Date of Call]]),YEAR(Table13[[#This Row],[Date of Call]])+1)</f>
        <v>2024</v>
      </c>
      <c r="I928" t="str">
        <f>TEXT(Table13[[#This Row],[Date of Call]],"dddd")</f>
        <v>Friday</v>
      </c>
      <c r="J92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28">
        <f>ROUND(Table13[[#This Row],[Satisfaction Rating]],0)</f>
        <v>3</v>
      </c>
    </row>
    <row r="929" spans="1:11" x14ac:dyDescent="0.3">
      <c r="A929" s="23" t="s">
        <v>970</v>
      </c>
      <c r="B929" s="6" t="s">
        <v>13</v>
      </c>
      <c r="C929" s="6">
        <v>71</v>
      </c>
      <c r="D929" s="13" t="s">
        <v>30</v>
      </c>
      <c r="E929" s="14">
        <v>45247</v>
      </c>
      <c r="F929" s="6">
        <v>64</v>
      </c>
      <c r="G929" s="24">
        <v>3.9</v>
      </c>
      <c r="H929">
        <f>IF(MONTH(Table13[[#This Row],[Date of Call]])&lt;6, YEAR(Table13[[#This Row],[Date of Call]]),YEAR(Table13[[#This Row],[Date of Call]])+1)</f>
        <v>2024</v>
      </c>
      <c r="I929" t="str">
        <f>TEXT(Table13[[#This Row],[Date of Call]],"dddd")</f>
        <v>Friday</v>
      </c>
      <c r="J92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29">
        <f>ROUND(Table13[[#This Row],[Satisfaction Rating]],0)</f>
        <v>4</v>
      </c>
    </row>
    <row r="930" spans="1:11" x14ac:dyDescent="0.3">
      <c r="A930" s="23" t="s">
        <v>971</v>
      </c>
      <c r="B930" s="6" t="s">
        <v>15</v>
      </c>
      <c r="C930" s="6">
        <v>93</v>
      </c>
      <c r="D930" s="13" t="s">
        <v>32</v>
      </c>
      <c r="E930" s="14">
        <v>45248</v>
      </c>
      <c r="F930" s="6">
        <v>185</v>
      </c>
      <c r="G930" s="24">
        <v>4.3</v>
      </c>
      <c r="H930">
        <f>IF(MONTH(Table13[[#This Row],[Date of Call]])&lt;6, YEAR(Table13[[#This Row],[Date of Call]]),YEAR(Table13[[#This Row],[Date of Call]])+1)</f>
        <v>2024</v>
      </c>
      <c r="I930" t="str">
        <f>TEXT(Table13[[#This Row],[Date of Call]],"dddd")</f>
        <v>Saturday</v>
      </c>
      <c r="J93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0">
        <f>ROUND(Table13[[#This Row],[Satisfaction Rating]],0)</f>
        <v>4</v>
      </c>
    </row>
    <row r="931" spans="1:11" x14ac:dyDescent="0.3">
      <c r="A931" s="23" t="s">
        <v>972</v>
      </c>
      <c r="B931" s="6" t="s">
        <v>17</v>
      </c>
      <c r="C931" s="6">
        <v>96</v>
      </c>
      <c r="D931" s="13" t="s">
        <v>29</v>
      </c>
      <c r="E931" s="14">
        <v>45248</v>
      </c>
      <c r="F931" s="6">
        <v>215</v>
      </c>
      <c r="G931" s="24">
        <v>2.5</v>
      </c>
      <c r="H931">
        <f>IF(MONTH(Table13[[#This Row],[Date of Call]])&lt;6, YEAR(Table13[[#This Row],[Date of Call]]),YEAR(Table13[[#This Row],[Date of Call]])+1)</f>
        <v>2024</v>
      </c>
      <c r="I931" t="str">
        <f>TEXT(Table13[[#This Row],[Date of Call]],"dddd")</f>
        <v>Saturday</v>
      </c>
      <c r="J93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1">
        <f>ROUND(Table13[[#This Row],[Satisfaction Rating]],0)</f>
        <v>3</v>
      </c>
    </row>
    <row r="932" spans="1:11" x14ac:dyDescent="0.3">
      <c r="A932" s="23" t="s">
        <v>973</v>
      </c>
      <c r="B932" s="6" t="s">
        <v>5</v>
      </c>
      <c r="C932" s="6">
        <v>31</v>
      </c>
      <c r="D932" s="13" t="s">
        <v>28</v>
      </c>
      <c r="E932" s="14">
        <v>45248</v>
      </c>
      <c r="F932" s="6">
        <v>88</v>
      </c>
      <c r="G932" s="24">
        <v>3.4</v>
      </c>
      <c r="H932">
        <f>IF(MONTH(Table13[[#This Row],[Date of Call]])&lt;6, YEAR(Table13[[#This Row],[Date of Call]]),YEAR(Table13[[#This Row],[Date of Call]])+1)</f>
        <v>2024</v>
      </c>
      <c r="I932" t="str">
        <f>TEXT(Table13[[#This Row],[Date of Call]],"dddd")</f>
        <v>Saturday</v>
      </c>
      <c r="J93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32">
        <f>ROUND(Table13[[#This Row],[Satisfaction Rating]],0)</f>
        <v>3</v>
      </c>
    </row>
    <row r="933" spans="1:11" x14ac:dyDescent="0.3">
      <c r="A933" s="23" t="s">
        <v>974</v>
      </c>
      <c r="B933" s="6" t="s">
        <v>15</v>
      </c>
      <c r="C933" s="6">
        <v>107</v>
      </c>
      <c r="D933" s="13" t="s">
        <v>30</v>
      </c>
      <c r="E933" s="14">
        <v>45248</v>
      </c>
      <c r="F933" s="6">
        <v>23</v>
      </c>
      <c r="G933" s="24">
        <v>3.4</v>
      </c>
      <c r="H933">
        <f>IF(MONTH(Table13[[#This Row],[Date of Call]])&lt;6, YEAR(Table13[[#This Row],[Date of Call]]),YEAR(Table13[[#This Row],[Date of Call]])+1)</f>
        <v>2024</v>
      </c>
      <c r="I933" t="str">
        <f>TEXT(Table13[[#This Row],[Date of Call]],"dddd")</f>
        <v>Saturday</v>
      </c>
      <c r="J93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3">
        <f>ROUND(Table13[[#This Row],[Satisfaction Rating]],0)</f>
        <v>3</v>
      </c>
    </row>
    <row r="934" spans="1:11" x14ac:dyDescent="0.3">
      <c r="A934" s="23" t="s">
        <v>975</v>
      </c>
      <c r="B934" s="6" t="s">
        <v>8</v>
      </c>
      <c r="C934" s="6">
        <v>50</v>
      </c>
      <c r="D934" s="13" t="s">
        <v>28</v>
      </c>
      <c r="E934" s="14">
        <v>45249</v>
      </c>
      <c r="F934" s="6">
        <v>180</v>
      </c>
      <c r="G934" s="24">
        <v>1.8</v>
      </c>
      <c r="H934">
        <f>IF(MONTH(Table13[[#This Row],[Date of Call]])&lt;6, YEAR(Table13[[#This Row],[Date of Call]]),YEAR(Table13[[#This Row],[Date of Call]])+1)</f>
        <v>2024</v>
      </c>
      <c r="I934" t="str">
        <f>TEXT(Table13[[#This Row],[Date of Call]],"dddd")</f>
        <v>Sunday</v>
      </c>
      <c r="J93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34">
        <f>ROUND(Table13[[#This Row],[Satisfaction Rating]],0)</f>
        <v>2</v>
      </c>
    </row>
    <row r="935" spans="1:11" x14ac:dyDescent="0.3">
      <c r="A935" s="23" t="s">
        <v>976</v>
      </c>
      <c r="B935" s="6" t="s">
        <v>4</v>
      </c>
      <c r="C935" s="6">
        <v>69</v>
      </c>
      <c r="D935" s="13" t="s">
        <v>30</v>
      </c>
      <c r="E935" s="14">
        <v>45250</v>
      </c>
      <c r="F935" s="6">
        <v>225</v>
      </c>
      <c r="G935" s="24">
        <v>3.7</v>
      </c>
      <c r="H935">
        <f>IF(MONTH(Table13[[#This Row],[Date of Call]])&lt;6, YEAR(Table13[[#This Row],[Date of Call]]),YEAR(Table13[[#This Row],[Date of Call]])+1)</f>
        <v>2024</v>
      </c>
      <c r="I935" t="str">
        <f>TEXT(Table13[[#This Row],[Date of Call]],"dddd")</f>
        <v>Monday</v>
      </c>
      <c r="J93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5">
        <f>ROUND(Table13[[#This Row],[Satisfaction Rating]],0)</f>
        <v>4</v>
      </c>
    </row>
    <row r="936" spans="1:11" x14ac:dyDescent="0.3">
      <c r="A936" s="23" t="s">
        <v>977</v>
      </c>
      <c r="B936" s="6" t="s">
        <v>14</v>
      </c>
      <c r="C936" s="6">
        <v>26</v>
      </c>
      <c r="D936" s="13" t="s">
        <v>29</v>
      </c>
      <c r="E936" s="14">
        <v>45251</v>
      </c>
      <c r="F936" s="6">
        <v>74</v>
      </c>
      <c r="G936" s="24">
        <v>4.0999999999999996</v>
      </c>
      <c r="H936">
        <f>IF(MONTH(Table13[[#This Row],[Date of Call]])&lt;6, YEAR(Table13[[#This Row],[Date of Call]]),YEAR(Table13[[#This Row],[Date of Call]])+1)</f>
        <v>2024</v>
      </c>
      <c r="I936" t="str">
        <f>TEXT(Table13[[#This Row],[Date of Call]],"dddd")</f>
        <v>Tuesday</v>
      </c>
      <c r="J93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936">
        <f>ROUND(Table13[[#This Row],[Satisfaction Rating]],0)</f>
        <v>4</v>
      </c>
    </row>
    <row r="937" spans="1:11" x14ac:dyDescent="0.3">
      <c r="A937" s="23" t="s">
        <v>978</v>
      </c>
      <c r="B937" s="6" t="s">
        <v>17</v>
      </c>
      <c r="C937" s="6">
        <v>158</v>
      </c>
      <c r="D937" s="13" t="s">
        <v>30</v>
      </c>
      <c r="E937" s="14">
        <v>45251</v>
      </c>
      <c r="F937" s="6">
        <v>36</v>
      </c>
      <c r="G937" s="24">
        <v>3</v>
      </c>
      <c r="H937">
        <f>IF(MONTH(Table13[[#This Row],[Date of Call]])&lt;6, YEAR(Table13[[#This Row],[Date of Call]]),YEAR(Table13[[#This Row],[Date of Call]])+1)</f>
        <v>2024</v>
      </c>
      <c r="I937" t="str">
        <f>TEXT(Table13[[#This Row],[Date of Call]],"dddd")</f>
        <v>Tuesday</v>
      </c>
      <c r="J93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37">
        <f>ROUND(Table13[[#This Row],[Satisfaction Rating]],0)</f>
        <v>3</v>
      </c>
    </row>
    <row r="938" spans="1:11" x14ac:dyDescent="0.3">
      <c r="A938" s="23" t="s">
        <v>979</v>
      </c>
      <c r="B938" s="6" t="s">
        <v>10</v>
      </c>
      <c r="C938" s="6">
        <v>99</v>
      </c>
      <c r="D938" s="13" t="s">
        <v>30</v>
      </c>
      <c r="E938" s="14">
        <v>45253</v>
      </c>
      <c r="F938" s="6">
        <v>116</v>
      </c>
      <c r="G938" s="24">
        <v>3.9</v>
      </c>
      <c r="H938">
        <f>IF(MONTH(Table13[[#This Row],[Date of Call]])&lt;6, YEAR(Table13[[#This Row],[Date of Call]]),YEAR(Table13[[#This Row],[Date of Call]])+1)</f>
        <v>2024</v>
      </c>
      <c r="I938" t="str">
        <f>TEXT(Table13[[#This Row],[Date of Call]],"dddd")</f>
        <v>Thursday</v>
      </c>
      <c r="J93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8">
        <f>ROUND(Table13[[#This Row],[Satisfaction Rating]],0)</f>
        <v>4</v>
      </c>
    </row>
    <row r="939" spans="1:11" x14ac:dyDescent="0.3">
      <c r="A939" s="23" t="s">
        <v>980</v>
      </c>
      <c r="B939" s="6" t="s">
        <v>17</v>
      </c>
      <c r="C939" s="6">
        <v>78</v>
      </c>
      <c r="D939" s="13" t="s">
        <v>28</v>
      </c>
      <c r="E939" s="14">
        <v>45253</v>
      </c>
      <c r="F939" s="6">
        <v>140</v>
      </c>
      <c r="G939" s="24">
        <v>4</v>
      </c>
      <c r="H939">
        <f>IF(MONTH(Table13[[#This Row],[Date of Call]])&lt;6, YEAR(Table13[[#This Row],[Date of Call]]),YEAR(Table13[[#This Row],[Date of Call]])+1)</f>
        <v>2024</v>
      </c>
      <c r="I939" t="str">
        <f>TEXT(Table13[[#This Row],[Date of Call]],"dddd")</f>
        <v>Thursday</v>
      </c>
      <c r="J93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39">
        <f>ROUND(Table13[[#This Row],[Satisfaction Rating]],0)</f>
        <v>4</v>
      </c>
    </row>
    <row r="940" spans="1:11" x14ac:dyDescent="0.3">
      <c r="A940" s="23" t="s">
        <v>981</v>
      </c>
      <c r="B940" s="6" t="s">
        <v>17</v>
      </c>
      <c r="C940" s="6">
        <v>102</v>
      </c>
      <c r="D940" s="13" t="s">
        <v>29</v>
      </c>
      <c r="E940" s="14">
        <v>45254</v>
      </c>
      <c r="F940" s="6">
        <v>104</v>
      </c>
      <c r="G940" s="24">
        <v>4.5</v>
      </c>
      <c r="H940">
        <f>IF(MONTH(Table13[[#This Row],[Date of Call]])&lt;6, YEAR(Table13[[#This Row],[Date of Call]]),YEAR(Table13[[#This Row],[Date of Call]])+1)</f>
        <v>2024</v>
      </c>
      <c r="I940" t="str">
        <f>TEXT(Table13[[#This Row],[Date of Call]],"dddd")</f>
        <v>Friday</v>
      </c>
      <c r="J94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40">
        <f>ROUND(Table13[[#This Row],[Satisfaction Rating]],0)</f>
        <v>5</v>
      </c>
    </row>
    <row r="941" spans="1:11" x14ac:dyDescent="0.3">
      <c r="A941" s="23" t="s">
        <v>982</v>
      </c>
      <c r="B941" s="6" t="s">
        <v>10</v>
      </c>
      <c r="C941" s="6">
        <v>158</v>
      </c>
      <c r="D941" s="13" t="s">
        <v>31</v>
      </c>
      <c r="E941" s="14">
        <v>45254</v>
      </c>
      <c r="F941" s="6">
        <v>148</v>
      </c>
      <c r="G941" s="24">
        <v>4</v>
      </c>
      <c r="H941">
        <f>IF(MONTH(Table13[[#This Row],[Date of Call]])&lt;6, YEAR(Table13[[#This Row],[Date of Call]]),YEAR(Table13[[#This Row],[Date of Call]])+1)</f>
        <v>2024</v>
      </c>
      <c r="I941" t="str">
        <f>TEXT(Table13[[#This Row],[Date of Call]],"dddd")</f>
        <v>Friday</v>
      </c>
      <c r="J94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41">
        <f>ROUND(Table13[[#This Row],[Satisfaction Rating]],0)</f>
        <v>4</v>
      </c>
    </row>
    <row r="942" spans="1:11" x14ac:dyDescent="0.3">
      <c r="A942" s="23" t="s">
        <v>983</v>
      </c>
      <c r="B942" s="6" t="s">
        <v>5</v>
      </c>
      <c r="C942" s="6">
        <v>56</v>
      </c>
      <c r="D942" s="13" t="s">
        <v>30</v>
      </c>
      <c r="E942" s="14">
        <v>45254</v>
      </c>
      <c r="F942" s="6">
        <v>205</v>
      </c>
      <c r="G942" s="24">
        <v>4.3</v>
      </c>
      <c r="H942">
        <f>IF(MONTH(Table13[[#This Row],[Date of Call]])&lt;6, YEAR(Table13[[#This Row],[Date of Call]]),YEAR(Table13[[#This Row],[Date of Call]])+1)</f>
        <v>2024</v>
      </c>
      <c r="I942" t="str">
        <f>TEXT(Table13[[#This Row],[Date of Call]],"dddd")</f>
        <v>Friday</v>
      </c>
      <c r="J94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42">
        <f>ROUND(Table13[[#This Row],[Satisfaction Rating]],0)</f>
        <v>4</v>
      </c>
    </row>
    <row r="943" spans="1:11" x14ac:dyDescent="0.3">
      <c r="A943" s="23" t="s">
        <v>984</v>
      </c>
      <c r="B943" s="6" t="s">
        <v>7</v>
      </c>
      <c r="C943" s="6">
        <v>17</v>
      </c>
      <c r="D943" s="13" t="s">
        <v>32</v>
      </c>
      <c r="E943" s="14">
        <v>45254</v>
      </c>
      <c r="F943" s="6">
        <v>210</v>
      </c>
      <c r="G943" s="24">
        <v>4.8</v>
      </c>
      <c r="H943">
        <f>IF(MONTH(Table13[[#This Row],[Date of Call]])&lt;6, YEAR(Table13[[#This Row],[Date of Call]]),YEAR(Table13[[#This Row],[Date of Call]])+1)</f>
        <v>2024</v>
      </c>
      <c r="I943" t="str">
        <f>TEXT(Table13[[#This Row],[Date of Call]],"dddd")</f>
        <v>Friday</v>
      </c>
      <c r="J94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943">
        <f>ROUND(Table13[[#This Row],[Satisfaction Rating]],0)</f>
        <v>5</v>
      </c>
    </row>
    <row r="944" spans="1:11" x14ac:dyDescent="0.3">
      <c r="A944" s="23" t="s">
        <v>985</v>
      </c>
      <c r="B944" s="6" t="s">
        <v>14</v>
      </c>
      <c r="C944" s="6">
        <v>104</v>
      </c>
      <c r="D944" s="13" t="s">
        <v>31</v>
      </c>
      <c r="E944" s="14">
        <v>45256</v>
      </c>
      <c r="F944" s="6">
        <v>41</v>
      </c>
      <c r="G944" s="24">
        <v>4.7</v>
      </c>
      <c r="H944">
        <f>IF(MONTH(Table13[[#This Row],[Date of Call]])&lt;6, YEAR(Table13[[#This Row],[Date of Call]]),YEAR(Table13[[#This Row],[Date of Call]])+1)</f>
        <v>2024</v>
      </c>
      <c r="I944" t="str">
        <f>TEXT(Table13[[#This Row],[Date of Call]],"dddd")</f>
        <v>Sunday</v>
      </c>
      <c r="J94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44">
        <f>ROUND(Table13[[#This Row],[Satisfaction Rating]],0)</f>
        <v>5</v>
      </c>
    </row>
    <row r="945" spans="1:11" x14ac:dyDescent="0.3">
      <c r="A945" s="23" t="s">
        <v>986</v>
      </c>
      <c r="B945" s="6" t="s">
        <v>18</v>
      </c>
      <c r="C945" s="6">
        <v>96</v>
      </c>
      <c r="D945" s="13" t="s">
        <v>28</v>
      </c>
      <c r="E945" s="14">
        <v>45256</v>
      </c>
      <c r="F945" s="6">
        <v>136</v>
      </c>
      <c r="G945" s="24">
        <v>5</v>
      </c>
      <c r="H945">
        <f>IF(MONTH(Table13[[#This Row],[Date of Call]])&lt;6, YEAR(Table13[[#This Row],[Date of Call]]),YEAR(Table13[[#This Row],[Date of Call]])+1)</f>
        <v>2024</v>
      </c>
      <c r="I945" t="str">
        <f>TEXT(Table13[[#This Row],[Date of Call]],"dddd")</f>
        <v>Sunday</v>
      </c>
      <c r="J94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45">
        <f>ROUND(Table13[[#This Row],[Satisfaction Rating]],0)</f>
        <v>5</v>
      </c>
    </row>
    <row r="946" spans="1:11" x14ac:dyDescent="0.3">
      <c r="A946" s="23" t="s">
        <v>987</v>
      </c>
      <c r="B946" s="6" t="s">
        <v>12</v>
      </c>
      <c r="C946" s="6">
        <v>83</v>
      </c>
      <c r="D946" s="13" t="s">
        <v>29</v>
      </c>
      <c r="E946" s="14">
        <v>45257</v>
      </c>
      <c r="F946" s="6">
        <v>126</v>
      </c>
      <c r="G946" s="24">
        <v>1.5</v>
      </c>
      <c r="H946">
        <f>IF(MONTH(Table13[[#This Row],[Date of Call]])&lt;6, YEAR(Table13[[#This Row],[Date of Call]]),YEAR(Table13[[#This Row],[Date of Call]])+1)</f>
        <v>2024</v>
      </c>
      <c r="I946" t="str">
        <f>TEXT(Table13[[#This Row],[Date of Call]],"dddd")</f>
        <v>Monday</v>
      </c>
      <c r="J94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46">
        <f>ROUND(Table13[[#This Row],[Satisfaction Rating]],0)</f>
        <v>2</v>
      </c>
    </row>
    <row r="947" spans="1:11" x14ac:dyDescent="0.3">
      <c r="A947" s="23" t="s">
        <v>988</v>
      </c>
      <c r="B947" s="6" t="s">
        <v>8</v>
      </c>
      <c r="C947" s="6">
        <v>80</v>
      </c>
      <c r="D947" s="13" t="s">
        <v>32</v>
      </c>
      <c r="E947" s="14">
        <v>45258</v>
      </c>
      <c r="F947" s="6">
        <v>148</v>
      </c>
      <c r="G947" s="24">
        <v>4.0999999999999996</v>
      </c>
      <c r="H947">
        <f>IF(MONTH(Table13[[#This Row],[Date of Call]])&lt;6, YEAR(Table13[[#This Row],[Date of Call]]),YEAR(Table13[[#This Row],[Date of Call]])+1)</f>
        <v>2024</v>
      </c>
      <c r="I947" t="str">
        <f>TEXT(Table13[[#This Row],[Date of Call]],"dddd")</f>
        <v>Tuesday</v>
      </c>
      <c r="J94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47">
        <f>ROUND(Table13[[#This Row],[Satisfaction Rating]],0)</f>
        <v>4</v>
      </c>
    </row>
    <row r="948" spans="1:11" x14ac:dyDescent="0.3">
      <c r="A948" s="23" t="s">
        <v>989</v>
      </c>
      <c r="B948" s="6" t="s">
        <v>12</v>
      </c>
      <c r="C948" s="6">
        <v>152</v>
      </c>
      <c r="D948" s="13" t="s">
        <v>29</v>
      </c>
      <c r="E948" s="14">
        <v>45258</v>
      </c>
      <c r="F948" s="6">
        <v>125</v>
      </c>
      <c r="G948" s="24">
        <v>3.9</v>
      </c>
      <c r="H948">
        <f>IF(MONTH(Table13[[#This Row],[Date of Call]])&lt;6, YEAR(Table13[[#This Row],[Date of Call]]),YEAR(Table13[[#This Row],[Date of Call]])+1)</f>
        <v>2024</v>
      </c>
      <c r="I948" t="str">
        <f>TEXT(Table13[[#This Row],[Date of Call]],"dddd")</f>
        <v>Tuesday</v>
      </c>
      <c r="J94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48">
        <f>ROUND(Table13[[#This Row],[Satisfaction Rating]],0)</f>
        <v>4</v>
      </c>
    </row>
    <row r="949" spans="1:11" x14ac:dyDescent="0.3">
      <c r="A949" s="23" t="s">
        <v>990</v>
      </c>
      <c r="B949" s="6" t="s">
        <v>13</v>
      </c>
      <c r="C949" s="6">
        <v>34</v>
      </c>
      <c r="D949" s="13" t="s">
        <v>28</v>
      </c>
      <c r="E949" s="14">
        <v>45258</v>
      </c>
      <c r="F949" s="6">
        <v>25</v>
      </c>
      <c r="G949" s="24">
        <v>4.0999999999999996</v>
      </c>
      <c r="H949">
        <f>IF(MONTH(Table13[[#This Row],[Date of Call]])&lt;6, YEAR(Table13[[#This Row],[Date of Call]]),YEAR(Table13[[#This Row],[Date of Call]])+1)</f>
        <v>2024</v>
      </c>
      <c r="I949" t="str">
        <f>TEXT(Table13[[#This Row],[Date of Call]],"dddd")</f>
        <v>Tuesday</v>
      </c>
      <c r="J94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49">
        <f>ROUND(Table13[[#This Row],[Satisfaction Rating]],0)</f>
        <v>4</v>
      </c>
    </row>
    <row r="950" spans="1:11" x14ac:dyDescent="0.3">
      <c r="A950" s="23" t="s">
        <v>991</v>
      </c>
      <c r="B950" s="6" t="s">
        <v>16</v>
      </c>
      <c r="C950" s="6">
        <v>2</v>
      </c>
      <c r="D950" s="13" t="s">
        <v>30</v>
      </c>
      <c r="E950" s="14">
        <v>45259</v>
      </c>
      <c r="F950" s="6">
        <v>62</v>
      </c>
      <c r="G950" s="24">
        <v>2.8</v>
      </c>
      <c r="H950">
        <f>IF(MONTH(Table13[[#This Row],[Date of Call]])&lt;6, YEAR(Table13[[#This Row],[Date of Call]]),YEAR(Table13[[#This Row],[Date of Call]])+1)</f>
        <v>2024</v>
      </c>
      <c r="I950" t="str">
        <f>TEXT(Table13[[#This Row],[Date of Call]],"dddd")</f>
        <v>Wednesday</v>
      </c>
      <c r="J95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950">
        <f>ROUND(Table13[[#This Row],[Satisfaction Rating]],0)</f>
        <v>3</v>
      </c>
    </row>
    <row r="951" spans="1:11" x14ac:dyDescent="0.3">
      <c r="A951" s="23" t="s">
        <v>992</v>
      </c>
      <c r="B951" s="6" t="s">
        <v>8</v>
      </c>
      <c r="C951" s="6">
        <v>140</v>
      </c>
      <c r="D951" s="13" t="s">
        <v>28</v>
      </c>
      <c r="E951" s="14">
        <v>45260</v>
      </c>
      <c r="F951" s="6">
        <v>90</v>
      </c>
      <c r="G951" s="24">
        <v>4.5999999999999996</v>
      </c>
      <c r="H951">
        <f>IF(MONTH(Table13[[#This Row],[Date of Call]])&lt;6, YEAR(Table13[[#This Row],[Date of Call]]),YEAR(Table13[[#This Row],[Date of Call]])+1)</f>
        <v>2024</v>
      </c>
      <c r="I951" t="str">
        <f>TEXT(Table13[[#This Row],[Date of Call]],"dddd")</f>
        <v>Thursday</v>
      </c>
      <c r="J95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51">
        <f>ROUND(Table13[[#This Row],[Satisfaction Rating]],0)</f>
        <v>5</v>
      </c>
    </row>
    <row r="952" spans="1:11" x14ac:dyDescent="0.3">
      <c r="A952" s="23" t="s">
        <v>993</v>
      </c>
      <c r="B952" s="6" t="s">
        <v>7</v>
      </c>
      <c r="C952" s="6">
        <v>126</v>
      </c>
      <c r="D952" s="13" t="s">
        <v>31</v>
      </c>
      <c r="E952" s="14">
        <v>45261</v>
      </c>
      <c r="F952" s="6">
        <v>33</v>
      </c>
      <c r="G952" s="24">
        <v>4.8</v>
      </c>
      <c r="H952">
        <f>IF(MONTH(Table13[[#This Row],[Date of Call]])&lt;6, YEAR(Table13[[#This Row],[Date of Call]]),YEAR(Table13[[#This Row],[Date of Call]])+1)</f>
        <v>2024</v>
      </c>
      <c r="I952" t="str">
        <f>TEXT(Table13[[#This Row],[Date of Call]],"dddd")</f>
        <v>Friday</v>
      </c>
      <c r="J95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52">
        <f>ROUND(Table13[[#This Row],[Satisfaction Rating]],0)</f>
        <v>5</v>
      </c>
    </row>
    <row r="953" spans="1:11" x14ac:dyDescent="0.3">
      <c r="A953" s="23" t="s">
        <v>994</v>
      </c>
      <c r="B953" s="6" t="s">
        <v>17</v>
      </c>
      <c r="C953" s="6">
        <v>79</v>
      </c>
      <c r="D953" s="13" t="s">
        <v>30</v>
      </c>
      <c r="E953" s="14">
        <v>45261</v>
      </c>
      <c r="F953" s="6">
        <v>115</v>
      </c>
      <c r="G953" s="24">
        <v>2.2999999999999998</v>
      </c>
      <c r="H953">
        <f>IF(MONTH(Table13[[#This Row],[Date of Call]])&lt;6, YEAR(Table13[[#This Row],[Date of Call]]),YEAR(Table13[[#This Row],[Date of Call]])+1)</f>
        <v>2024</v>
      </c>
      <c r="I953" t="str">
        <f>TEXT(Table13[[#This Row],[Date of Call]],"dddd")</f>
        <v>Friday</v>
      </c>
      <c r="J95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53">
        <f>ROUND(Table13[[#This Row],[Satisfaction Rating]],0)</f>
        <v>2</v>
      </c>
    </row>
    <row r="954" spans="1:11" x14ac:dyDescent="0.3">
      <c r="A954" s="23" t="s">
        <v>995</v>
      </c>
      <c r="B954" s="6" t="s">
        <v>7</v>
      </c>
      <c r="C954" s="6">
        <v>133</v>
      </c>
      <c r="D954" s="13" t="s">
        <v>31</v>
      </c>
      <c r="E954" s="14">
        <v>45261</v>
      </c>
      <c r="F954" s="6">
        <v>45</v>
      </c>
      <c r="G954" s="24">
        <v>2.6</v>
      </c>
      <c r="H954">
        <f>IF(MONTH(Table13[[#This Row],[Date of Call]])&lt;6, YEAR(Table13[[#This Row],[Date of Call]]),YEAR(Table13[[#This Row],[Date of Call]])+1)</f>
        <v>2024</v>
      </c>
      <c r="I954" t="str">
        <f>TEXT(Table13[[#This Row],[Date of Call]],"dddd")</f>
        <v>Friday</v>
      </c>
      <c r="J95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54">
        <f>ROUND(Table13[[#This Row],[Satisfaction Rating]],0)</f>
        <v>3</v>
      </c>
    </row>
    <row r="955" spans="1:11" x14ac:dyDescent="0.3">
      <c r="A955" s="23" t="s">
        <v>996</v>
      </c>
      <c r="B955" s="6" t="s">
        <v>13</v>
      </c>
      <c r="C955" s="6">
        <v>97</v>
      </c>
      <c r="D955" s="13" t="s">
        <v>32</v>
      </c>
      <c r="E955" s="14">
        <v>45261</v>
      </c>
      <c r="F955" s="6">
        <v>114</v>
      </c>
      <c r="G955" s="24">
        <v>4.8</v>
      </c>
      <c r="H955">
        <f>IF(MONTH(Table13[[#This Row],[Date of Call]])&lt;6, YEAR(Table13[[#This Row],[Date of Call]]),YEAR(Table13[[#This Row],[Date of Call]])+1)</f>
        <v>2024</v>
      </c>
      <c r="I955" t="str">
        <f>TEXT(Table13[[#This Row],[Date of Call]],"dddd")</f>
        <v>Friday</v>
      </c>
      <c r="J95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55">
        <f>ROUND(Table13[[#This Row],[Satisfaction Rating]],0)</f>
        <v>5</v>
      </c>
    </row>
    <row r="956" spans="1:11" x14ac:dyDescent="0.3">
      <c r="A956" s="23" t="s">
        <v>997</v>
      </c>
      <c r="B956" s="6" t="s">
        <v>17</v>
      </c>
      <c r="C956" s="6">
        <v>102</v>
      </c>
      <c r="D956" s="13" t="s">
        <v>29</v>
      </c>
      <c r="E956" s="14">
        <v>45262</v>
      </c>
      <c r="F956" s="6">
        <v>72</v>
      </c>
      <c r="G956" s="24">
        <v>3.7</v>
      </c>
      <c r="H956">
        <f>IF(MONTH(Table13[[#This Row],[Date of Call]])&lt;6, YEAR(Table13[[#This Row],[Date of Call]]),YEAR(Table13[[#This Row],[Date of Call]])+1)</f>
        <v>2024</v>
      </c>
      <c r="I956" t="str">
        <f>TEXT(Table13[[#This Row],[Date of Call]],"dddd")</f>
        <v>Saturday</v>
      </c>
      <c r="J95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56">
        <f>ROUND(Table13[[#This Row],[Satisfaction Rating]],0)</f>
        <v>4</v>
      </c>
    </row>
    <row r="957" spans="1:11" x14ac:dyDescent="0.3">
      <c r="A957" s="23" t="s">
        <v>998</v>
      </c>
      <c r="B957" s="6" t="s">
        <v>9</v>
      </c>
      <c r="C957" s="6">
        <v>62</v>
      </c>
      <c r="D957" s="13" t="s">
        <v>32</v>
      </c>
      <c r="E957" s="14">
        <v>45262</v>
      </c>
      <c r="F957" s="6">
        <v>205</v>
      </c>
      <c r="G957" s="24">
        <v>4.2</v>
      </c>
      <c r="H957">
        <f>IF(MONTH(Table13[[#This Row],[Date of Call]])&lt;6, YEAR(Table13[[#This Row],[Date of Call]]),YEAR(Table13[[#This Row],[Date of Call]])+1)</f>
        <v>2024</v>
      </c>
      <c r="I957" t="str">
        <f>TEXT(Table13[[#This Row],[Date of Call]],"dddd")</f>
        <v>Saturday</v>
      </c>
      <c r="J95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57">
        <f>ROUND(Table13[[#This Row],[Satisfaction Rating]],0)</f>
        <v>4</v>
      </c>
    </row>
    <row r="958" spans="1:11" x14ac:dyDescent="0.3">
      <c r="A958" s="23" t="s">
        <v>999</v>
      </c>
      <c r="B958" s="6" t="s">
        <v>7</v>
      </c>
      <c r="C958" s="6">
        <v>149</v>
      </c>
      <c r="D958" s="13" t="s">
        <v>29</v>
      </c>
      <c r="E958" s="14">
        <v>45263</v>
      </c>
      <c r="F958" s="6">
        <v>42</v>
      </c>
      <c r="G958" s="24">
        <v>3.3</v>
      </c>
      <c r="H958">
        <f>IF(MONTH(Table13[[#This Row],[Date of Call]])&lt;6, YEAR(Table13[[#This Row],[Date of Call]]),YEAR(Table13[[#This Row],[Date of Call]])+1)</f>
        <v>2024</v>
      </c>
      <c r="I958" t="str">
        <f>TEXT(Table13[[#This Row],[Date of Call]],"dddd")</f>
        <v>Sunday</v>
      </c>
      <c r="J95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58">
        <f>ROUND(Table13[[#This Row],[Satisfaction Rating]],0)</f>
        <v>3</v>
      </c>
    </row>
    <row r="959" spans="1:11" x14ac:dyDescent="0.3">
      <c r="A959" s="23" t="s">
        <v>1000</v>
      </c>
      <c r="B959" s="6" t="s">
        <v>16</v>
      </c>
      <c r="C959" s="6">
        <v>133</v>
      </c>
      <c r="D959" s="13" t="s">
        <v>32</v>
      </c>
      <c r="E959" s="14">
        <v>45263</v>
      </c>
      <c r="F959" s="6">
        <v>96</v>
      </c>
      <c r="G959" s="24">
        <v>4.3</v>
      </c>
      <c r="H959">
        <f>IF(MONTH(Table13[[#This Row],[Date of Call]])&lt;6, YEAR(Table13[[#This Row],[Date of Call]]),YEAR(Table13[[#This Row],[Date of Call]])+1)</f>
        <v>2024</v>
      </c>
      <c r="I959" t="str">
        <f>TEXT(Table13[[#This Row],[Date of Call]],"dddd")</f>
        <v>Sunday</v>
      </c>
      <c r="J95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59">
        <f>ROUND(Table13[[#This Row],[Satisfaction Rating]],0)</f>
        <v>4</v>
      </c>
    </row>
    <row r="960" spans="1:11" x14ac:dyDescent="0.3">
      <c r="A960" s="23" t="s">
        <v>1001</v>
      </c>
      <c r="B960" s="6" t="s">
        <v>17</v>
      </c>
      <c r="C960" s="6">
        <v>51</v>
      </c>
      <c r="D960" s="13" t="s">
        <v>30</v>
      </c>
      <c r="E960" s="14">
        <v>45263</v>
      </c>
      <c r="F960" s="6">
        <v>64</v>
      </c>
      <c r="G960" s="24">
        <v>3.7</v>
      </c>
      <c r="H960">
        <f>IF(MONTH(Table13[[#This Row],[Date of Call]])&lt;6, YEAR(Table13[[#This Row],[Date of Call]]),YEAR(Table13[[#This Row],[Date of Call]])+1)</f>
        <v>2024</v>
      </c>
      <c r="I960" t="str">
        <f>TEXT(Table13[[#This Row],[Date of Call]],"dddd")</f>
        <v>Sunday</v>
      </c>
      <c r="J96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60">
        <f>ROUND(Table13[[#This Row],[Satisfaction Rating]],0)</f>
        <v>4</v>
      </c>
    </row>
    <row r="961" spans="1:11" x14ac:dyDescent="0.3">
      <c r="A961" s="23" t="s">
        <v>1002</v>
      </c>
      <c r="B961" s="6" t="s">
        <v>9</v>
      </c>
      <c r="C961" s="6">
        <v>110</v>
      </c>
      <c r="D961" s="13" t="s">
        <v>32</v>
      </c>
      <c r="E961" s="14">
        <v>45264</v>
      </c>
      <c r="F961" s="6">
        <v>72</v>
      </c>
      <c r="G961" s="24">
        <v>3.7</v>
      </c>
      <c r="H961">
        <f>IF(MONTH(Table13[[#This Row],[Date of Call]])&lt;6, YEAR(Table13[[#This Row],[Date of Call]]),YEAR(Table13[[#This Row],[Date of Call]])+1)</f>
        <v>2024</v>
      </c>
      <c r="I961" t="str">
        <f>TEXT(Table13[[#This Row],[Date of Call]],"dddd")</f>
        <v>Monday</v>
      </c>
      <c r="J96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61">
        <f>ROUND(Table13[[#This Row],[Satisfaction Rating]],0)</f>
        <v>4</v>
      </c>
    </row>
    <row r="962" spans="1:11" x14ac:dyDescent="0.3">
      <c r="A962" s="23" t="s">
        <v>1003</v>
      </c>
      <c r="B962" s="6" t="s">
        <v>13</v>
      </c>
      <c r="C962" s="6">
        <v>38</v>
      </c>
      <c r="D962" s="13" t="s">
        <v>31</v>
      </c>
      <c r="E962" s="14">
        <v>45265</v>
      </c>
      <c r="F962" s="6">
        <v>27</v>
      </c>
      <c r="G962" s="24">
        <v>3.1</v>
      </c>
      <c r="H962">
        <f>IF(MONTH(Table13[[#This Row],[Date of Call]])&lt;6, YEAR(Table13[[#This Row],[Date of Call]]),YEAR(Table13[[#This Row],[Date of Call]])+1)</f>
        <v>2024</v>
      </c>
      <c r="I962" t="str">
        <f>TEXT(Table13[[#This Row],[Date of Call]],"dddd")</f>
        <v>Tuesday</v>
      </c>
      <c r="J96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62">
        <f>ROUND(Table13[[#This Row],[Satisfaction Rating]],0)</f>
        <v>3</v>
      </c>
    </row>
    <row r="963" spans="1:11" x14ac:dyDescent="0.3">
      <c r="A963" s="23" t="s">
        <v>1004</v>
      </c>
      <c r="B963" s="6" t="s">
        <v>16</v>
      </c>
      <c r="C963" s="6">
        <v>78</v>
      </c>
      <c r="D963" s="13" t="s">
        <v>31</v>
      </c>
      <c r="E963" s="14">
        <v>45267</v>
      </c>
      <c r="F963" s="6">
        <v>200</v>
      </c>
      <c r="G963" s="24">
        <v>2.4</v>
      </c>
      <c r="H963">
        <f>IF(MONTH(Table13[[#This Row],[Date of Call]])&lt;6, YEAR(Table13[[#This Row],[Date of Call]]),YEAR(Table13[[#This Row],[Date of Call]])+1)</f>
        <v>2024</v>
      </c>
      <c r="I963" t="str">
        <f>TEXT(Table13[[#This Row],[Date of Call]],"dddd")</f>
        <v>Thursday</v>
      </c>
      <c r="J96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63">
        <f>ROUND(Table13[[#This Row],[Satisfaction Rating]],0)</f>
        <v>2</v>
      </c>
    </row>
    <row r="964" spans="1:11" x14ac:dyDescent="0.3">
      <c r="A964" s="23" t="s">
        <v>1005</v>
      </c>
      <c r="B964" s="6" t="s">
        <v>13</v>
      </c>
      <c r="C964" s="6">
        <v>25</v>
      </c>
      <c r="D964" s="13" t="s">
        <v>29</v>
      </c>
      <c r="E964" s="14">
        <v>45268</v>
      </c>
      <c r="F964" s="6">
        <v>93</v>
      </c>
      <c r="G964" s="24">
        <v>3.5</v>
      </c>
      <c r="H964">
        <f>IF(MONTH(Table13[[#This Row],[Date of Call]])&lt;6, YEAR(Table13[[#This Row],[Date of Call]]),YEAR(Table13[[#This Row],[Date of Call]])+1)</f>
        <v>2024</v>
      </c>
      <c r="I964" t="str">
        <f>TEXT(Table13[[#This Row],[Date of Call]],"dddd")</f>
        <v>Friday</v>
      </c>
      <c r="J96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10 to 30 mins</v>
      </c>
      <c r="K964">
        <f>ROUND(Table13[[#This Row],[Satisfaction Rating]],0)</f>
        <v>4</v>
      </c>
    </row>
    <row r="965" spans="1:11" x14ac:dyDescent="0.3">
      <c r="A965" s="23" t="s">
        <v>1006</v>
      </c>
      <c r="B965" s="6" t="s">
        <v>15</v>
      </c>
      <c r="C965" s="6">
        <v>50</v>
      </c>
      <c r="D965" s="13" t="s">
        <v>30</v>
      </c>
      <c r="E965" s="14">
        <v>45268</v>
      </c>
      <c r="F965" s="6">
        <v>54</v>
      </c>
      <c r="G965" s="24">
        <v>4.3</v>
      </c>
      <c r="H965">
        <f>IF(MONTH(Table13[[#This Row],[Date of Call]])&lt;6, YEAR(Table13[[#This Row],[Date of Call]]),YEAR(Table13[[#This Row],[Date of Call]])+1)</f>
        <v>2024</v>
      </c>
      <c r="I965" t="str">
        <f>TEXT(Table13[[#This Row],[Date of Call]],"dddd")</f>
        <v>Friday</v>
      </c>
      <c r="J96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65">
        <f>ROUND(Table13[[#This Row],[Satisfaction Rating]],0)</f>
        <v>4</v>
      </c>
    </row>
    <row r="966" spans="1:11" x14ac:dyDescent="0.3">
      <c r="A966" s="23" t="s">
        <v>1007</v>
      </c>
      <c r="B966" s="6" t="s">
        <v>13</v>
      </c>
      <c r="C966" s="6">
        <v>103</v>
      </c>
      <c r="D966" s="13" t="s">
        <v>29</v>
      </c>
      <c r="E966" s="14">
        <v>45269</v>
      </c>
      <c r="F966" s="6">
        <v>72</v>
      </c>
      <c r="G966" s="24">
        <v>3.4</v>
      </c>
      <c r="H966">
        <f>IF(MONTH(Table13[[#This Row],[Date of Call]])&lt;6, YEAR(Table13[[#This Row],[Date of Call]]),YEAR(Table13[[#This Row],[Date of Call]])+1)</f>
        <v>2024</v>
      </c>
      <c r="I966" t="str">
        <f>TEXT(Table13[[#This Row],[Date of Call]],"dddd")</f>
        <v>Saturday</v>
      </c>
      <c r="J96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66">
        <f>ROUND(Table13[[#This Row],[Satisfaction Rating]],0)</f>
        <v>3</v>
      </c>
    </row>
    <row r="967" spans="1:11" x14ac:dyDescent="0.3">
      <c r="A967" s="23" t="s">
        <v>1008</v>
      </c>
      <c r="B967" s="6" t="s">
        <v>12</v>
      </c>
      <c r="C967" s="6">
        <v>63</v>
      </c>
      <c r="D967" s="13" t="s">
        <v>28</v>
      </c>
      <c r="E967" s="14">
        <v>45269</v>
      </c>
      <c r="F967" s="6">
        <v>82</v>
      </c>
      <c r="G967" s="24">
        <v>3.7</v>
      </c>
      <c r="H967">
        <f>IF(MONTH(Table13[[#This Row],[Date of Call]])&lt;6, YEAR(Table13[[#This Row],[Date of Call]]),YEAR(Table13[[#This Row],[Date of Call]])+1)</f>
        <v>2024</v>
      </c>
      <c r="I967" t="str">
        <f>TEXT(Table13[[#This Row],[Date of Call]],"dddd")</f>
        <v>Saturday</v>
      </c>
      <c r="J96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67">
        <f>ROUND(Table13[[#This Row],[Satisfaction Rating]],0)</f>
        <v>4</v>
      </c>
    </row>
    <row r="968" spans="1:11" x14ac:dyDescent="0.3">
      <c r="A968" s="23" t="s">
        <v>1009</v>
      </c>
      <c r="B968" s="6" t="s">
        <v>15</v>
      </c>
      <c r="C968" s="6">
        <v>96</v>
      </c>
      <c r="D968" s="13" t="s">
        <v>30</v>
      </c>
      <c r="E968" s="14">
        <v>45273</v>
      </c>
      <c r="F968" s="6">
        <v>164</v>
      </c>
      <c r="G968" s="24">
        <v>4.8</v>
      </c>
      <c r="H968">
        <f>IF(MONTH(Table13[[#This Row],[Date of Call]])&lt;6, YEAR(Table13[[#This Row],[Date of Call]]),YEAR(Table13[[#This Row],[Date of Call]])+1)</f>
        <v>2024</v>
      </c>
      <c r="I968" t="str">
        <f>TEXT(Table13[[#This Row],[Date of Call]],"dddd")</f>
        <v>Wednesday</v>
      </c>
      <c r="J96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68">
        <f>ROUND(Table13[[#This Row],[Satisfaction Rating]],0)</f>
        <v>5</v>
      </c>
    </row>
    <row r="969" spans="1:11" x14ac:dyDescent="0.3">
      <c r="A969" s="23" t="s">
        <v>1010</v>
      </c>
      <c r="B969" s="6" t="s">
        <v>8</v>
      </c>
      <c r="C969" s="6">
        <v>94</v>
      </c>
      <c r="D969" s="13" t="s">
        <v>29</v>
      </c>
      <c r="E969" s="14">
        <v>45273</v>
      </c>
      <c r="F969" s="6">
        <v>78</v>
      </c>
      <c r="G969" s="24">
        <v>3.3</v>
      </c>
      <c r="H969">
        <f>IF(MONTH(Table13[[#This Row],[Date of Call]])&lt;6, YEAR(Table13[[#This Row],[Date of Call]]),YEAR(Table13[[#This Row],[Date of Call]])+1)</f>
        <v>2024</v>
      </c>
      <c r="I969" t="str">
        <f>TEXT(Table13[[#This Row],[Date of Call]],"dddd")</f>
        <v>Wednesday</v>
      </c>
      <c r="J96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69">
        <f>ROUND(Table13[[#This Row],[Satisfaction Rating]],0)</f>
        <v>3</v>
      </c>
    </row>
    <row r="970" spans="1:11" x14ac:dyDescent="0.3">
      <c r="A970" s="23" t="s">
        <v>1011</v>
      </c>
      <c r="B970" s="6" t="s">
        <v>9</v>
      </c>
      <c r="C970" s="6">
        <v>46</v>
      </c>
      <c r="D970" s="13" t="s">
        <v>31</v>
      </c>
      <c r="E970" s="14">
        <v>45274</v>
      </c>
      <c r="F970" s="6">
        <v>135</v>
      </c>
      <c r="G970" s="24">
        <v>4.2</v>
      </c>
      <c r="H970">
        <f>IF(MONTH(Table13[[#This Row],[Date of Call]])&lt;6, YEAR(Table13[[#This Row],[Date of Call]]),YEAR(Table13[[#This Row],[Date of Call]])+1)</f>
        <v>2024</v>
      </c>
      <c r="I970" t="str">
        <f>TEXT(Table13[[#This Row],[Date of Call]],"dddd")</f>
        <v>Thursday</v>
      </c>
      <c r="J97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70">
        <f>ROUND(Table13[[#This Row],[Satisfaction Rating]],0)</f>
        <v>4</v>
      </c>
    </row>
    <row r="971" spans="1:11" x14ac:dyDescent="0.3">
      <c r="A971" s="23" t="s">
        <v>1012</v>
      </c>
      <c r="B971" s="6" t="s">
        <v>11</v>
      </c>
      <c r="C971" s="6">
        <v>127</v>
      </c>
      <c r="D971" s="13" t="s">
        <v>30</v>
      </c>
      <c r="E971" s="14">
        <v>45275</v>
      </c>
      <c r="F971" s="6">
        <v>145</v>
      </c>
      <c r="G971" s="24">
        <v>2.6</v>
      </c>
      <c r="H971">
        <f>IF(MONTH(Table13[[#This Row],[Date of Call]])&lt;6, YEAR(Table13[[#This Row],[Date of Call]]),YEAR(Table13[[#This Row],[Date of Call]])+1)</f>
        <v>2024</v>
      </c>
      <c r="I971" t="str">
        <f>TEXT(Table13[[#This Row],[Date of Call]],"dddd")</f>
        <v>Friday</v>
      </c>
      <c r="J97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1">
        <f>ROUND(Table13[[#This Row],[Satisfaction Rating]],0)</f>
        <v>3</v>
      </c>
    </row>
    <row r="972" spans="1:11" x14ac:dyDescent="0.3">
      <c r="A972" s="23" t="s">
        <v>1013</v>
      </c>
      <c r="B972" s="6" t="s">
        <v>10</v>
      </c>
      <c r="C972" s="6">
        <v>96</v>
      </c>
      <c r="D972" s="13" t="s">
        <v>31</v>
      </c>
      <c r="E972" s="14">
        <v>45275</v>
      </c>
      <c r="F972" s="6">
        <v>115</v>
      </c>
      <c r="G972" s="24">
        <v>4.9000000000000004</v>
      </c>
      <c r="H972">
        <f>IF(MONTH(Table13[[#This Row],[Date of Call]])&lt;6, YEAR(Table13[[#This Row],[Date of Call]]),YEAR(Table13[[#This Row],[Date of Call]])+1)</f>
        <v>2024</v>
      </c>
      <c r="I972" t="str">
        <f>TEXT(Table13[[#This Row],[Date of Call]],"dddd")</f>
        <v>Friday</v>
      </c>
      <c r="J97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72">
        <f>ROUND(Table13[[#This Row],[Satisfaction Rating]],0)</f>
        <v>5</v>
      </c>
    </row>
    <row r="973" spans="1:11" x14ac:dyDescent="0.3">
      <c r="A973" s="23" t="s">
        <v>1014</v>
      </c>
      <c r="B973" s="6" t="s">
        <v>4</v>
      </c>
      <c r="C973" s="6">
        <v>151</v>
      </c>
      <c r="D973" s="13" t="s">
        <v>29</v>
      </c>
      <c r="E973" s="14">
        <v>45275</v>
      </c>
      <c r="F973" s="6">
        <v>117</v>
      </c>
      <c r="G973" s="24">
        <v>2</v>
      </c>
      <c r="H973">
        <f>IF(MONTH(Table13[[#This Row],[Date of Call]])&lt;6, YEAR(Table13[[#This Row],[Date of Call]]),YEAR(Table13[[#This Row],[Date of Call]])+1)</f>
        <v>2024</v>
      </c>
      <c r="I973" t="str">
        <f>TEXT(Table13[[#This Row],[Date of Call]],"dddd")</f>
        <v>Friday</v>
      </c>
      <c r="J97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3">
        <f>ROUND(Table13[[#This Row],[Satisfaction Rating]],0)</f>
        <v>2</v>
      </c>
    </row>
    <row r="974" spans="1:11" x14ac:dyDescent="0.3">
      <c r="A974" s="23" t="s">
        <v>1015</v>
      </c>
      <c r="B974" s="6" t="s">
        <v>11</v>
      </c>
      <c r="C974" s="6">
        <v>158</v>
      </c>
      <c r="D974" s="13" t="s">
        <v>32</v>
      </c>
      <c r="E974" s="14">
        <v>45276</v>
      </c>
      <c r="F974" s="6">
        <v>36</v>
      </c>
      <c r="G974" s="24">
        <v>4.7</v>
      </c>
      <c r="H974">
        <f>IF(MONTH(Table13[[#This Row],[Date of Call]])&lt;6, YEAR(Table13[[#This Row],[Date of Call]]),YEAR(Table13[[#This Row],[Date of Call]])+1)</f>
        <v>2024</v>
      </c>
      <c r="I974" t="str">
        <f>TEXT(Table13[[#This Row],[Date of Call]],"dddd")</f>
        <v>Saturday</v>
      </c>
      <c r="J97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4">
        <f>ROUND(Table13[[#This Row],[Satisfaction Rating]],0)</f>
        <v>5</v>
      </c>
    </row>
    <row r="975" spans="1:11" x14ac:dyDescent="0.3">
      <c r="A975" s="23" t="s">
        <v>1016</v>
      </c>
      <c r="B975" s="6" t="s">
        <v>8</v>
      </c>
      <c r="C975" s="6">
        <v>45</v>
      </c>
      <c r="D975" s="13" t="s">
        <v>32</v>
      </c>
      <c r="E975" s="14">
        <v>45276</v>
      </c>
      <c r="F975" s="6">
        <v>84</v>
      </c>
      <c r="G975" s="24">
        <v>2.8</v>
      </c>
      <c r="H975">
        <f>IF(MONTH(Table13[[#This Row],[Date of Call]])&lt;6, YEAR(Table13[[#This Row],[Date of Call]]),YEAR(Table13[[#This Row],[Date of Call]])+1)</f>
        <v>2024</v>
      </c>
      <c r="I975" t="str">
        <f>TEXT(Table13[[#This Row],[Date of Call]],"dddd")</f>
        <v>Saturday</v>
      </c>
      <c r="J97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75">
        <f>ROUND(Table13[[#This Row],[Satisfaction Rating]],0)</f>
        <v>3</v>
      </c>
    </row>
    <row r="976" spans="1:11" x14ac:dyDescent="0.3">
      <c r="A976" s="23" t="s">
        <v>1017</v>
      </c>
      <c r="B976" s="6" t="s">
        <v>5</v>
      </c>
      <c r="C976" s="6">
        <v>141</v>
      </c>
      <c r="D976" s="13" t="s">
        <v>32</v>
      </c>
      <c r="E976" s="14">
        <v>45276</v>
      </c>
      <c r="F976" s="6">
        <v>66</v>
      </c>
      <c r="G976" s="24">
        <v>3.2</v>
      </c>
      <c r="H976">
        <f>IF(MONTH(Table13[[#This Row],[Date of Call]])&lt;6, YEAR(Table13[[#This Row],[Date of Call]]),YEAR(Table13[[#This Row],[Date of Call]])+1)</f>
        <v>2024</v>
      </c>
      <c r="I976" t="str">
        <f>TEXT(Table13[[#This Row],[Date of Call]],"dddd")</f>
        <v>Saturday</v>
      </c>
      <c r="J97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6">
        <f>ROUND(Table13[[#This Row],[Satisfaction Rating]],0)</f>
        <v>3</v>
      </c>
    </row>
    <row r="977" spans="1:11" x14ac:dyDescent="0.3">
      <c r="A977" s="23" t="s">
        <v>1018</v>
      </c>
      <c r="B977" s="6" t="s">
        <v>13</v>
      </c>
      <c r="C977" s="6">
        <v>147</v>
      </c>
      <c r="D977" s="13" t="s">
        <v>31</v>
      </c>
      <c r="E977" s="14">
        <v>45276</v>
      </c>
      <c r="F977" s="6">
        <v>76</v>
      </c>
      <c r="G977" s="24">
        <v>4.7</v>
      </c>
      <c r="H977">
        <f>IF(MONTH(Table13[[#This Row],[Date of Call]])&lt;6, YEAR(Table13[[#This Row],[Date of Call]]),YEAR(Table13[[#This Row],[Date of Call]])+1)</f>
        <v>2024</v>
      </c>
      <c r="I977" t="str">
        <f>TEXT(Table13[[#This Row],[Date of Call]],"dddd")</f>
        <v>Saturday</v>
      </c>
      <c r="J97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7">
        <f>ROUND(Table13[[#This Row],[Satisfaction Rating]],0)</f>
        <v>5</v>
      </c>
    </row>
    <row r="978" spans="1:11" x14ac:dyDescent="0.3">
      <c r="A978" s="23" t="s">
        <v>1019</v>
      </c>
      <c r="B978" s="6" t="s">
        <v>18</v>
      </c>
      <c r="C978" s="6">
        <v>126</v>
      </c>
      <c r="D978" s="13" t="s">
        <v>31</v>
      </c>
      <c r="E978" s="14">
        <v>45276</v>
      </c>
      <c r="F978" s="6">
        <v>185</v>
      </c>
      <c r="G978" s="24">
        <v>4.8</v>
      </c>
      <c r="H978">
        <f>IF(MONTH(Table13[[#This Row],[Date of Call]])&lt;6, YEAR(Table13[[#This Row],[Date of Call]]),YEAR(Table13[[#This Row],[Date of Call]])+1)</f>
        <v>2024</v>
      </c>
      <c r="I978" t="str">
        <f>TEXT(Table13[[#This Row],[Date of Call]],"dddd")</f>
        <v>Saturday</v>
      </c>
      <c r="J97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8">
        <f>ROUND(Table13[[#This Row],[Satisfaction Rating]],0)</f>
        <v>5</v>
      </c>
    </row>
    <row r="979" spans="1:11" x14ac:dyDescent="0.3">
      <c r="A979" s="23" t="s">
        <v>1020</v>
      </c>
      <c r="B979" s="6" t="s">
        <v>8</v>
      </c>
      <c r="C979" s="6">
        <v>126</v>
      </c>
      <c r="D979" s="13" t="s">
        <v>28</v>
      </c>
      <c r="E979" s="14">
        <v>45277</v>
      </c>
      <c r="F979" s="6">
        <v>80</v>
      </c>
      <c r="G979" s="24">
        <v>4.7</v>
      </c>
      <c r="H979">
        <f>IF(MONTH(Table13[[#This Row],[Date of Call]])&lt;6, YEAR(Table13[[#This Row],[Date of Call]]),YEAR(Table13[[#This Row],[Date of Call]])+1)</f>
        <v>2024</v>
      </c>
      <c r="I979" t="str">
        <f>TEXT(Table13[[#This Row],[Date of Call]],"dddd")</f>
        <v>Sunday</v>
      </c>
      <c r="J97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79">
        <f>ROUND(Table13[[#This Row],[Satisfaction Rating]],0)</f>
        <v>5</v>
      </c>
    </row>
    <row r="980" spans="1:11" x14ac:dyDescent="0.3">
      <c r="A980" s="23" t="s">
        <v>1021</v>
      </c>
      <c r="B980" s="6" t="s">
        <v>16</v>
      </c>
      <c r="C980" s="6">
        <v>32</v>
      </c>
      <c r="D980" s="13" t="s">
        <v>31</v>
      </c>
      <c r="E980" s="14">
        <v>45277</v>
      </c>
      <c r="F980" s="6">
        <v>148</v>
      </c>
      <c r="G980" s="24">
        <v>4</v>
      </c>
      <c r="H980">
        <f>IF(MONTH(Table13[[#This Row],[Date of Call]])&lt;6, YEAR(Table13[[#This Row],[Date of Call]]),YEAR(Table13[[#This Row],[Date of Call]])+1)</f>
        <v>2024</v>
      </c>
      <c r="I980" t="str">
        <f>TEXT(Table13[[#This Row],[Date of Call]],"dddd")</f>
        <v>Sunday</v>
      </c>
      <c r="J98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80">
        <f>ROUND(Table13[[#This Row],[Satisfaction Rating]],0)</f>
        <v>4</v>
      </c>
    </row>
    <row r="981" spans="1:11" x14ac:dyDescent="0.3">
      <c r="A981" s="23" t="s">
        <v>1022</v>
      </c>
      <c r="B981" s="6" t="s">
        <v>8</v>
      </c>
      <c r="C981" s="6">
        <v>84</v>
      </c>
      <c r="D981" s="13" t="s">
        <v>30</v>
      </c>
      <c r="E981" s="14">
        <v>45279</v>
      </c>
      <c r="F981" s="6">
        <v>180</v>
      </c>
      <c r="G981" s="24">
        <v>4.9000000000000004</v>
      </c>
      <c r="H981">
        <f>IF(MONTH(Table13[[#This Row],[Date of Call]])&lt;6, YEAR(Table13[[#This Row],[Date of Call]]),YEAR(Table13[[#This Row],[Date of Call]])+1)</f>
        <v>2024</v>
      </c>
      <c r="I981" t="str">
        <f>TEXT(Table13[[#This Row],[Date of Call]],"dddd")</f>
        <v>Tuesday</v>
      </c>
      <c r="J98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81">
        <f>ROUND(Table13[[#This Row],[Satisfaction Rating]],0)</f>
        <v>5</v>
      </c>
    </row>
    <row r="982" spans="1:11" x14ac:dyDescent="0.3">
      <c r="A982" s="23" t="s">
        <v>1023</v>
      </c>
      <c r="B982" s="6" t="s">
        <v>12</v>
      </c>
      <c r="C982" s="6">
        <v>120</v>
      </c>
      <c r="D982" s="13" t="s">
        <v>28</v>
      </c>
      <c r="E982" s="14">
        <v>45280</v>
      </c>
      <c r="F982" s="6">
        <v>190</v>
      </c>
      <c r="G982" s="24">
        <v>3.7</v>
      </c>
      <c r="H982">
        <f>IF(MONTH(Table13[[#This Row],[Date of Call]])&lt;6, YEAR(Table13[[#This Row],[Date of Call]]),YEAR(Table13[[#This Row],[Date of Call]])+1)</f>
        <v>2024</v>
      </c>
      <c r="I982" t="str">
        <f>TEXT(Table13[[#This Row],[Date of Call]],"dddd")</f>
        <v>Wednesday</v>
      </c>
      <c r="J98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82">
        <f>ROUND(Table13[[#This Row],[Satisfaction Rating]],0)</f>
        <v>4</v>
      </c>
    </row>
    <row r="983" spans="1:11" x14ac:dyDescent="0.3">
      <c r="A983" s="23" t="s">
        <v>1024</v>
      </c>
      <c r="B983" s="6" t="s">
        <v>14</v>
      </c>
      <c r="C983" s="6">
        <v>93</v>
      </c>
      <c r="D983" s="13" t="s">
        <v>31</v>
      </c>
      <c r="E983" s="14">
        <v>45280</v>
      </c>
      <c r="F983" s="6">
        <v>38</v>
      </c>
      <c r="G983" s="24">
        <v>4.5</v>
      </c>
      <c r="H983">
        <f>IF(MONTH(Table13[[#This Row],[Date of Call]])&lt;6, YEAR(Table13[[#This Row],[Date of Call]]),YEAR(Table13[[#This Row],[Date of Call]])+1)</f>
        <v>2024</v>
      </c>
      <c r="I983" t="str">
        <f>TEXT(Table13[[#This Row],[Date of Call]],"dddd")</f>
        <v>Wednesday</v>
      </c>
      <c r="J98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83">
        <f>ROUND(Table13[[#This Row],[Satisfaction Rating]],0)</f>
        <v>5</v>
      </c>
    </row>
    <row r="984" spans="1:11" x14ac:dyDescent="0.3">
      <c r="A984" s="23" t="s">
        <v>1025</v>
      </c>
      <c r="B984" s="6" t="s">
        <v>10</v>
      </c>
      <c r="C984" s="6">
        <v>76</v>
      </c>
      <c r="D984" s="13" t="s">
        <v>29</v>
      </c>
      <c r="E984" s="14">
        <v>45281</v>
      </c>
      <c r="F984" s="6">
        <v>82</v>
      </c>
      <c r="G984" s="24">
        <v>2.1</v>
      </c>
      <c r="H984">
        <f>IF(MONTH(Table13[[#This Row],[Date of Call]])&lt;6, YEAR(Table13[[#This Row],[Date of Call]]),YEAR(Table13[[#This Row],[Date of Call]])+1)</f>
        <v>2024</v>
      </c>
      <c r="I984" t="str">
        <f>TEXT(Table13[[#This Row],[Date of Call]],"dddd")</f>
        <v>Thursday</v>
      </c>
      <c r="J98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84">
        <f>ROUND(Table13[[#This Row],[Satisfaction Rating]],0)</f>
        <v>2</v>
      </c>
    </row>
    <row r="985" spans="1:11" x14ac:dyDescent="0.3">
      <c r="A985" s="23" t="s">
        <v>1026</v>
      </c>
      <c r="B985" s="6" t="s">
        <v>11</v>
      </c>
      <c r="C985" s="6">
        <v>89</v>
      </c>
      <c r="D985" s="13" t="s">
        <v>31</v>
      </c>
      <c r="E985" s="14">
        <v>45284</v>
      </c>
      <c r="F985" s="6">
        <v>88</v>
      </c>
      <c r="G985" s="24">
        <v>2.8</v>
      </c>
      <c r="H985">
        <f>IF(MONTH(Table13[[#This Row],[Date of Call]])&lt;6, YEAR(Table13[[#This Row],[Date of Call]]),YEAR(Table13[[#This Row],[Date of Call]])+1)</f>
        <v>2024</v>
      </c>
      <c r="I985" t="str">
        <f>TEXT(Table13[[#This Row],[Date of Call]],"dddd")</f>
        <v>Sunday</v>
      </c>
      <c r="J98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85">
        <f>ROUND(Table13[[#This Row],[Satisfaction Rating]],0)</f>
        <v>3</v>
      </c>
    </row>
    <row r="986" spans="1:11" x14ac:dyDescent="0.3">
      <c r="A986" s="23" t="s">
        <v>1027</v>
      </c>
      <c r="B986" s="6" t="s">
        <v>17</v>
      </c>
      <c r="C986" s="6">
        <v>91</v>
      </c>
      <c r="D986" s="13" t="s">
        <v>30</v>
      </c>
      <c r="E986" s="14">
        <v>45284</v>
      </c>
      <c r="F986" s="6">
        <v>42</v>
      </c>
      <c r="G986" s="24">
        <v>4.0999999999999996</v>
      </c>
      <c r="H986">
        <f>IF(MONTH(Table13[[#This Row],[Date of Call]])&lt;6, YEAR(Table13[[#This Row],[Date of Call]]),YEAR(Table13[[#This Row],[Date of Call]])+1)</f>
        <v>2024</v>
      </c>
      <c r="I986" t="str">
        <f>TEXT(Table13[[#This Row],[Date of Call]],"dddd")</f>
        <v>Sunday</v>
      </c>
      <c r="J98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86">
        <f>ROUND(Table13[[#This Row],[Satisfaction Rating]],0)</f>
        <v>4</v>
      </c>
    </row>
    <row r="987" spans="1:11" x14ac:dyDescent="0.3">
      <c r="A987" s="23" t="s">
        <v>1028</v>
      </c>
      <c r="B987" s="6" t="s">
        <v>9</v>
      </c>
      <c r="C987" s="6">
        <v>7</v>
      </c>
      <c r="D987" s="13" t="s">
        <v>32</v>
      </c>
      <c r="E987" s="14">
        <v>45285</v>
      </c>
      <c r="F987" s="6">
        <v>64</v>
      </c>
      <c r="G987" s="24">
        <v>3.3</v>
      </c>
      <c r="H987">
        <f>IF(MONTH(Table13[[#This Row],[Date of Call]])&lt;6, YEAR(Table13[[#This Row],[Date of Call]]),YEAR(Table13[[#This Row],[Date of Call]])+1)</f>
        <v>2024</v>
      </c>
      <c r="I987" t="str">
        <f>TEXT(Table13[[#This Row],[Date of Call]],"dddd")</f>
        <v>Monday</v>
      </c>
      <c r="J98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Under 10 mins</v>
      </c>
      <c r="K987">
        <f>ROUND(Table13[[#This Row],[Satisfaction Rating]],0)</f>
        <v>3</v>
      </c>
    </row>
    <row r="988" spans="1:11" x14ac:dyDescent="0.3">
      <c r="A988" s="23" t="s">
        <v>1029</v>
      </c>
      <c r="B988" s="6" t="s">
        <v>16</v>
      </c>
      <c r="C988" s="6">
        <v>140</v>
      </c>
      <c r="D988" s="13" t="s">
        <v>32</v>
      </c>
      <c r="E988" s="14">
        <v>45285</v>
      </c>
      <c r="F988" s="6">
        <v>105</v>
      </c>
      <c r="G988" s="24">
        <v>1.7</v>
      </c>
      <c r="H988">
        <f>IF(MONTH(Table13[[#This Row],[Date of Call]])&lt;6, YEAR(Table13[[#This Row],[Date of Call]]),YEAR(Table13[[#This Row],[Date of Call]])+1)</f>
        <v>2024</v>
      </c>
      <c r="I988" t="str">
        <f>TEXT(Table13[[#This Row],[Date of Call]],"dddd")</f>
        <v>Monday</v>
      </c>
      <c r="J98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88">
        <f>ROUND(Table13[[#This Row],[Satisfaction Rating]],0)</f>
        <v>2</v>
      </c>
    </row>
    <row r="989" spans="1:11" x14ac:dyDescent="0.3">
      <c r="A989" s="23" t="s">
        <v>1030</v>
      </c>
      <c r="B989" s="6" t="s">
        <v>7</v>
      </c>
      <c r="C989" s="6">
        <v>58</v>
      </c>
      <c r="D989" s="13" t="s">
        <v>28</v>
      </c>
      <c r="E989" s="14">
        <v>45285</v>
      </c>
      <c r="F989" s="6">
        <v>25</v>
      </c>
      <c r="G989" s="24">
        <v>3.6</v>
      </c>
      <c r="H989">
        <f>IF(MONTH(Table13[[#This Row],[Date of Call]])&lt;6, YEAR(Table13[[#This Row],[Date of Call]]),YEAR(Table13[[#This Row],[Date of Call]])+1)</f>
        <v>2024</v>
      </c>
      <c r="I989" t="str">
        <f>TEXT(Table13[[#This Row],[Date of Call]],"dddd")</f>
        <v>Monday</v>
      </c>
      <c r="J98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89">
        <f>ROUND(Table13[[#This Row],[Satisfaction Rating]],0)</f>
        <v>4</v>
      </c>
    </row>
    <row r="990" spans="1:11" x14ac:dyDescent="0.3">
      <c r="A990" s="23" t="s">
        <v>1031</v>
      </c>
      <c r="B990" s="6" t="s">
        <v>6</v>
      </c>
      <c r="C990" s="6">
        <v>90</v>
      </c>
      <c r="D990" s="13" t="s">
        <v>29</v>
      </c>
      <c r="E990" s="14">
        <v>45286</v>
      </c>
      <c r="F990" s="6">
        <v>176</v>
      </c>
      <c r="G990" s="24">
        <v>3.6</v>
      </c>
      <c r="H990">
        <f>IF(MONTH(Table13[[#This Row],[Date of Call]])&lt;6, YEAR(Table13[[#This Row],[Date of Call]]),YEAR(Table13[[#This Row],[Date of Call]])+1)</f>
        <v>2024</v>
      </c>
      <c r="I990" t="str">
        <f>TEXT(Table13[[#This Row],[Date of Call]],"dddd")</f>
        <v>Tuesday</v>
      </c>
      <c r="J99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0">
        <f>ROUND(Table13[[#This Row],[Satisfaction Rating]],0)</f>
        <v>4</v>
      </c>
    </row>
    <row r="991" spans="1:11" x14ac:dyDescent="0.3">
      <c r="A991" s="23" t="s">
        <v>1032</v>
      </c>
      <c r="B991" s="6" t="s">
        <v>6</v>
      </c>
      <c r="C991" s="6">
        <v>106</v>
      </c>
      <c r="D991" s="13" t="s">
        <v>31</v>
      </c>
      <c r="E991" s="14">
        <v>45287</v>
      </c>
      <c r="F991" s="6">
        <v>46</v>
      </c>
      <c r="G991" s="24">
        <v>4.5999999999999996</v>
      </c>
      <c r="H991">
        <f>IF(MONTH(Table13[[#This Row],[Date of Call]])&lt;6, YEAR(Table13[[#This Row],[Date of Call]]),YEAR(Table13[[#This Row],[Date of Call]])+1)</f>
        <v>2024</v>
      </c>
      <c r="I991" t="str">
        <f>TEXT(Table13[[#This Row],[Date of Call]],"dddd")</f>
        <v>Wednesday</v>
      </c>
      <c r="J99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1">
        <f>ROUND(Table13[[#This Row],[Satisfaction Rating]],0)</f>
        <v>5</v>
      </c>
    </row>
    <row r="992" spans="1:11" x14ac:dyDescent="0.3">
      <c r="A992" s="23" t="s">
        <v>1033</v>
      </c>
      <c r="B992" s="6" t="s">
        <v>12</v>
      </c>
      <c r="C992" s="6">
        <v>72</v>
      </c>
      <c r="D992" s="13" t="s">
        <v>32</v>
      </c>
      <c r="E992" s="14">
        <v>45287</v>
      </c>
      <c r="F992" s="6">
        <v>164</v>
      </c>
      <c r="G992" s="24">
        <v>4.8</v>
      </c>
      <c r="H992">
        <f>IF(MONTH(Table13[[#This Row],[Date of Call]])&lt;6, YEAR(Table13[[#This Row],[Date of Call]]),YEAR(Table13[[#This Row],[Date of Call]])+1)</f>
        <v>2024</v>
      </c>
      <c r="I992" t="str">
        <f>TEXT(Table13[[#This Row],[Date of Call]],"dddd")</f>
        <v>Wednesday</v>
      </c>
      <c r="J99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2">
        <f>ROUND(Table13[[#This Row],[Satisfaction Rating]],0)</f>
        <v>5</v>
      </c>
    </row>
    <row r="993" spans="1:11" x14ac:dyDescent="0.3">
      <c r="A993" s="23" t="s">
        <v>1034</v>
      </c>
      <c r="B993" s="6" t="s">
        <v>9</v>
      </c>
      <c r="C993" s="6">
        <v>124</v>
      </c>
      <c r="D993" s="13" t="s">
        <v>32</v>
      </c>
      <c r="E993" s="14">
        <v>45288</v>
      </c>
      <c r="F993" s="6">
        <v>64</v>
      </c>
      <c r="G993" s="24">
        <v>4.5</v>
      </c>
      <c r="H993">
        <f>IF(MONTH(Table13[[#This Row],[Date of Call]])&lt;6, YEAR(Table13[[#This Row],[Date of Call]]),YEAR(Table13[[#This Row],[Date of Call]])+1)</f>
        <v>2024</v>
      </c>
      <c r="I993" t="str">
        <f>TEXT(Table13[[#This Row],[Date of Call]],"dddd")</f>
        <v>Thursday</v>
      </c>
      <c r="J99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93">
        <f>ROUND(Table13[[#This Row],[Satisfaction Rating]],0)</f>
        <v>5</v>
      </c>
    </row>
    <row r="994" spans="1:11" x14ac:dyDescent="0.3">
      <c r="A994" s="23" t="s">
        <v>1035</v>
      </c>
      <c r="B994" s="6" t="s">
        <v>5</v>
      </c>
      <c r="C994" s="6">
        <v>86</v>
      </c>
      <c r="D994" s="13" t="s">
        <v>30</v>
      </c>
      <c r="E994" s="14">
        <v>45288</v>
      </c>
      <c r="F994" s="6">
        <v>205</v>
      </c>
      <c r="G994" s="24">
        <v>4.5</v>
      </c>
      <c r="H994">
        <f>IF(MONTH(Table13[[#This Row],[Date of Call]])&lt;6, YEAR(Table13[[#This Row],[Date of Call]]),YEAR(Table13[[#This Row],[Date of Call]])+1)</f>
        <v>2024</v>
      </c>
      <c r="I994" t="str">
        <f>TEXT(Table13[[#This Row],[Date of Call]],"dddd")</f>
        <v>Thursday</v>
      </c>
      <c r="J99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4">
        <f>ROUND(Table13[[#This Row],[Satisfaction Rating]],0)</f>
        <v>5</v>
      </c>
    </row>
    <row r="995" spans="1:11" x14ac:dyDescent="0.3">
      <c r="A995" s="23" t="s">
        <v>1036</v>
      </c>
      <c r="B995" s="6" t="s">
        <v>8</v>
      </c>
      <c r="C995" s="6">
        <v>164</v>
      </c>
      <c r="D995" s="13" t="s">
        <v>30</v>
      </c>
      <c r="E995" s="14">
        <v>45289</v>
      </c>
      <c r="F995" s="6">
        <v>100</v>
      </c>
      <c r="G995" s="24">
        <v>4.5999999999999996</v>
      </c>
      <c r="H995">
        <f>IF(MONTH(Table13[[#This Row],[Date of Call]])&lt;6, YEAR(Table13[[#This Row],[Date of Call]]),YEAR(Table13[[#This Row],[Date of Call]])+1)</f>
        <v>2024</v>
      </c>
      <c r="I995" t="str">
        <f>TEXT(Table13[[#This Row],[Date of Call]],"dddd")</f>
        <v>Friday</v>
      </c>
      <c r="J995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995">
        <f>ROUND(Table13[[#This Row],[Satisfaction Rating]],0)</f>
        <v>5</v>
      </c>
    </row>
    <row r="996" spans="1:11" x14ac:dyDescent="0.3">
      <c r="A996" s="23" t="s">
        <v>1037</v>
      </c>
      <c r="B996" s="6" t="s">
        <v>14</v>
      </c>
      <c r="C996" s="6">
        <v>40</v>
      </c>
      <c r="D996" s="13" t="s">
        <v>29</v>
      </c>
      <c r="E996" s="14">
        <v>45289</v>
      </c>
      <c r="F996" s="6">
        <v>111</v>
      </c>
      <c r="G996" s="24">
        <v>4.5999999999999996</v>
      </c>
      <c r="H996">
        <f>IF(MONTH(Table13[[#This Row],[Date of Call]])&lt;6, YEAR(Table13[[#This Row],[Date of Call]]),YEAR(Table13[[#This Row],[Date of Call]])+1)</f>
        <v>2024</v>
      </c>
      <c r="I996" t="str">
        <f>TEXT(Table13[[#This Row],[Date of Call]],"dddd")</f>
        <v>Friday</v>
      </c>
      <c r="J996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30 to 60 mins</v>
      </c>
      <c r="K996">
        <f>ROUND(Table13[[#This Row],[Satisfaction Rating]],0)</f>
        <v>5</v>
      </c>
    </row>
    <row r="997" spans="1:11" x14ac:dyDescent="0.3">
      <c r="A997" s="23" t="s">
        <v>1038</v>
      </c>
      <c r="B997" s="6" t="s">
        <v>17</v>
      </c>
      <c r="C997" s="6">
        <v>76</v>
      </c>
      <c r="D997" s="13" t="s">
        <v>28</v>
      </c>
      <c r="E997" s="14">
        <v>45289</v>
      </c>
      <c r="F997" s="6">
        <v>80</v>
      </c>
      <c r="G997" s="24">
        <v>3.5</v>
      </c>
      <c r="H997">
        <f>IF(MONTH(Table13[[#This Row],[Date of Call]])&lt;6, YEAR(Table13[[#This Row],[Date of Call]]),YEAR(Table13[[#This Row],[Date of Call]])+1)</f>
        <v>2024</v>
      </c>
      <c r="I997" t="str">
        <f>TEXT(Table13[[#This Row],[Date of Call]],"dddd")</f>
        <v>Friday</v>
      </c>
      <c r="J997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7">
        <f>ROUND(Table13[[#This Row],[Satisfaction Rating]],0)</f>
        <v>4</v>
      </c>
    </row>
    <row r="998" spans="1:11" x14ac:dyDescent="0.3">
      <c r="A998" s="23" t="s">
        <v>1039</v>
      </c>
      <c r="B998" s="6" t="s">
        <v>9</v>
      </c>
      <c r="C998" s="6">
        <v>95</v>
      </c>
      <c r="D998" s="13" t="s">
        <v>31</v>
      </c>
      <c r="E998" s="14">
        <v>45289</v>
      </c>
      <c r="F998" s="6">
        <v>50</v>
      </c>
      <c r="G998" s="24">
        <v>2.9</v>
      </c>
      <c r="H998">
        <f>IF(MONTH(Table13[[#This Row],[Date of Call]])&lt;6, YEAR(Table13[[#This Row],[Date of Call]]),YEAR(Table13[[#This Row],[Date of Call]])+1)</f>
        <v>2024</v>
      </c>
      <c r="I998" t="str">
        <f>TEXT(Table13[[#This Row],[Date of Call]],"dddd")</f>
        <v>Friday</v>
      </c>
      <c r="J998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8">
        <f>ROUND(Table13[[#This Row],[Satisfaction Rating]],0)</f>
        <v>3</v>
      </c>
    </row>
    <row r="999" spans="1:11" x14ac:dyDescent="0.3">
      <c r="A999" s="23" t="s">
        <v>1040</v>
      </c>
      <c r="B999" s="6" t="s">
        <v>17</v>
      </c>
      <c r="C999" s="6">
        <v>113</v>
      </c>
      <c r="D999" s="13" t="s">
        <v>32</v>
      </c>
      <c r="E999" s="14">
        <v>45290</v>
      </c>
      <c r="F999" s="6">
        <v>165</v>
      </c>
      <c r="G999" s="24">
        <v>4.7</v>
      </c>
      <c r="H999">
        <f>IF(MONTH(Table13[[#This Row],[Date of Call]])&lt;6, YEAR(Table13[[#This Row],[Date of Call]]),YEAR(Table13[[#This Row],[Date of Call]])+1)</f>
        <v>2024</v>
      </c>
      <c r="I999" t="str">
        <f>TEXT(Table13[[#This Row],[Date of Call]],"dddd")</f>
        <v>Saturday</v>
      </c>
      <c r="J999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999">
        <f>ROUND(Table13[[#This Row],[Satisfaction Rating]],0)</f>
        <v>5</v>
      </c>
    </row>
    <row r="1000" spans="1:11" x14ac:dyDescent="0.3">
      <c r="A1000" s="23" t="s">
        <v>1041</v>
      </c>
      <c r="B1000" s="6" t="s">
        <v>5</v>
      </c>
      <c r="C1000" s="6">
        <v>81</v>
      </c>
      <c r="D1000" s="13" t="s">
        <v>32</v>
      </c>
      <c r="E1000" s="14">
        <v>45290</v>
      </c>
      <c r="F1000" s="6">
        <v>28</v>
      </c>
      <c r="G1000" s="24">
        <v>3.9</v>
      </c>
      <c r="H1000">
        <f>IF(MONTH(Table13[[#This Row],[Date of Call]])&lt;6, YEAR(Table13[[#This Row],[Date of Call]]),YEAR(Table13[[#This Row],[Date of Call]])+1)</f>
        <v>2024</v>
      </c>
      <c r="I1000" t="str">
        <f>TEXT(Table13[[#This Row],[Date of Call]],"dddd")</f>
        <v>Saturday</v>
      </c>
      <c r="J1000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00">
        <f>ROUND(Table13[[#This Row],[Satisfaction Rating]],0)</f>
        <v>4</v>
      </c>
    </row>
    <row r="1001" spans="1:11" x14ac:dyDescent="0.3">
      <c r="A1001" s="23" t="s">
        <v>1042</v>
      </c>
      <c r="B1001" s="6" t="s">
        <v>10</v>
      </c>
      <c r="C1001" s="6">
        <v>127</v>
      </c>
      <c r="D1001" s="13" t="s">
        <v>31</v>
      </c>
      <c r="E1001" s="14">
        <v>45290</v>
      </c>
      <c r="F1001" s="6">
        <v>215</v>
      </c>
      <c r="G1001" s="24">
        <v>3.8</v>
      </c>
      <c r="H1001">
        <f>IF(MONTH(Table13[[#This Row],[Date of Call]])&lt;6, YEAR(Table13[[#This Row],[Date of Call]]),YEAR(Table13[[#This Row],[Date of Call]])+1)</f>
        <v>2024</v>
      </c>
      <c r="I1001" t="str">
        <f>TEXT(Table13[[#This Row],[Date of Call]],"dddd")</f>
        <v>Saturday</v>
      </c>
      <c r="J1001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001">
        <f>ROUND(Table13[[#This Row],[Satisfaction Rating]],0)</f>
        <v>4</v>
      </c>
    </row>
    <row r="1002" spans="1:11" x14ac:dyDescent="0.3">
      <c r="A1002" s="23" t="s">
        <v>1043</v>
      </c>
      <c r="B1002" s="6" t="s">
        <v>16</v>
      </c>
      <c r="C1002" s="6">
        <v>146</v>
      </c>
      <c r="D1002" s="13" t="s">
        <v>32</v>
      </c>
      <c r="E1002" s="14">
        <v>45291</v>
      </c>
      <c r="F1002" s="6">
        <v>115</v>
      </c>
      <c r="G1002" s="24">
        <v>2.2999999999999998</v>
      </c>
      <c r="H1002">
        <f>IF(MONTH(Table13[[#This Row],[Date of Call]])&lt;6, YEAR(Table13[[#This Row],[Date of Call]]),YEAR(Table13[[#This Row],[Date of Call]])+1)</f>
        <v>2024</v>
      </c>
      <c r="I1002" t="str">
        <f>TEXT(Table13[[#This Row],[Date of Call]],"dddd")</f>
        <v>Sunday</v>
      </c>
      <c r="J1002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002">
        <f>ROUND(Table13[[#This Row],[Satisfaction Rating]],0)</f>
        <v>2</v>
      </c>
    </row>
    <row r="1003" spans="1:11" x14ac:dyDescent="0.3">
      <c r="A1003" s="23" t="s">
        <v>1044</v>
      </c>
      <c r="B1003" s="6" t="s">
        <v>13</v>
      </c>
      <c r="C1003" s="6">
        <v>123</v>
      </c>
      <c r="D1003" s="13" t="s">
        <v>32</v>
      </c>
      <c r="E1003" s="14">
        <v>45291</v>
      </c>
      <c r="F1003" s="6">
        <v>64</v>
      </c>
      <c r="G1003" s="24">
        <v>3.7</v>
      </c>
      <c r="H1003">
        <f>IF(MONTH(Table13[[#This Row],[Date of Call]])&lt;6, YEAR(Table13[[#This Row],[Date of Call]]),YEAR(Table13[[#This Row],[Date of Call]])+1)</f>
        <v>2024</v>
      </c>
      <c r="I1003" t="str">
        <f>TEXT(Table13[[#This Row],[Date of Call]],"dddd")</f>
        <v>Sunday</v>
      </c>
      <c r="J1003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More than 2 hours</v>
      </c>
      <c r="K1003">
        <f>ROUND(Table13[[#This Row],[Satisfaction Rating]],0)</f>
        <v>4</v>
      </c>
    </row>
    <row r="1004" spans="1:11" x14ac:dyDescent="0.3">
      <c r="A1004" s="25" t="s">
        <v>1045</v>
      </c>
      <c r="B1004" s="26" t="s">
        <v>12</v>
      </c>
      <c r="C1004" s="26">
        <v>114</v>
      </c>
      <c r="D1004" s="27" t="s">
        <v>28</v>
      </c>
      <c r="E1004" s="28">
        <v>45291</v>
      </c>
      <c r="F1004" s="26">
        <v>40</v>
      </c>
      <c r="G1004" s="29">
        <v>3.9</v>
      </c>
      <c r="H1004">
        <f>IF(MONTH(Table13[[#This Row],[Date of Call]])&lt;6, YEAR(Table13[[#This Row],[Date of Call]]),YEAR(Table13[[#This Row],[Date of Call]])+1)</f>
        <v>2024</v>
      </c>
      <c r="I1004" t="str">
        <f>TEXT(Table13[[#This Row],[Date of Call]],"dddd")</f>
        <v>Sunday</v>
      </c>
      <c r="J1004" t="str">
        <f>_xlfn.IFS(Table13[[#This Row],[Duration]]&lt;10,"Under 10 mins",Table13[[#This Row],[Duration]]&lt;30,"10 to 30 mins",Table13[[#This Row],[Duration]]&lt;60,"30 to 60 mins",Table13[[#This Row],[Duration]]&lt;120,"1 to 2 hours",TRUE,"More than 2 hours")</f>
        <v>1 to 2 hours</v>
      </c>
      <c r="K1004">
        <f>ROUND(Table13[[#This Row],[Satisfaction Rating]],0)</f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6582F0-0C47-462A-ABE2-DEC0FE35E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Shaktawat</dc:creator>
  <cp:lastModifiedBy>Aditi Shaktawat</cp:lastModifiedBy>
  <dcterms:created xsi:type="dcterms:W3CDTF">2026-05-23T12:17:28Z</dcterms:created>
  <dcterms:modified xsi:type="dcterms:W3CDTF">2026-05-23T12:24:30Z</dcterms:modified>
</cp:coreProperties>
</file>